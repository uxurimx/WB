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 taller\Desktop\PROYECTO AUTOMATIZACION\"/>
    </mc:Choice>
  </mc:AlternateContent>
  <xr:revisionPtr revIDLastSave="0" documentId="13_ncr:1_{3C033211-8258-4380-B776-D1E49424755F}" xr6:coauthVersionLast="47" xr6:coauthVersionMax="47" xr10:uidLastSave="{00000000-0000-0000-0000-000000000000}"/>
  <bookViews>
    <workbookView xWindow="-120" yWindow="-120" windowWidth="29040" windowHeight="15720" activeTab="1" xr2:uid="{2EB19909-51CD-4C30-AD32-E297A90B66D5}"/>
  </bookViews>
  <sheets>
    <sheet name="CARGAS GENERAL (1)" sheetId="1" r:id="rId1"/>
    <sheet name="RESUMEN TALLER (2)" sheetId="2" r:id="rId2"/>
    <sheet name="CARGAS CAMIONES (3)" sheetId="3" r:id="rId3"/>
    <sheet name="CARGAS MAQUINAS" sheetId="5" r:id="rId4"/>
    <sheet name="DETALLE MAQUINA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4" l="1"/>
  <c r="C64" i="4"/>
  <c r="C63" i="4"/>
  <c r="C62" i="4"/>
  <c r="C61" i="4"/>
  <c r="C60" i="4"/>
  <c r="C59" i="4"/>
  <c r="C58" i="4"/>
  <c r="C57" i="4"/>
  <c r="C56" i="4"/>
  <c r="C55" i="4"/>
  <c r="C54" i="4"/>
  <c r="C53" i="4"/>
  <c r="C66" i="4" s="1"/>
  <c r="F644" i="5"/>
  <c r="D639" i="5"/>
  <c r="D640" i="5" s="1"/>
  <c r="D635" i="5"/>
  <c r="D638" i="5" s="1"/>
  <c r="I627" i="5"/>
  <c r="I628" i="5" s="1"/>
  <c r="I629" i="5" s="1"/>
  <c r="I630" i="5" s="1"/>
  <c r="I631" i="5" s="1"/>
  <c r="I632" i="5" s="1"/>
  <c r="I633" i="5" s="1"/>
  <c r="I634" i="5" s="1"/>
  <c r="D623" i="5"/>
  <c r="D621" i="5"/>
  <c r="D620" i="5"/>
  <c r="D619" i="5"/>
  <c r="I615" i="5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14" i="5"/>
  <c r="I613" i="5"/>
  <c r="D611" i="5"/>
  <c r="FB192" i="5"/>
  <c r="FB191" i="5"/>
  <c r="FB190" i="5"/>
  <c r="FB189" i="5"/>
  <c r="FB188" i="5"/>
  <c r="FB187" i="5"/>
  <c r="FB185" i="5"/>
  <c r="FB184" i="5"/>
  <c r="CI184" i="5"/>
  <c r="FB183" i="5"/>
  <c r="FB182" i="5"/>
  <c r="FB181" i="5"/>
  <c r="FB180" i="5"/>
  <c r="FB179" i="5"/>
  <c r="FB178" i="5"/>
  <c r="CL178" i="5"/>
  <c r="FB177" i="5"/>
  <c r="CL177" i="5"/>
  <c r="FB176" i="5"/>
  <c r="CL176" i="5"/>
  <c r="FB175" i="5"/>
  <c r="CL175" i="5"/>
  <c r="BX175" i="5"/>
  <c r="FB174" i="5"/>
  <c r="CL174" i="5"/>
  <c r="FB173" i="5"/>
  <c r="CL173" i="5"/>
  <c r="FB172" i="5"/>
  <c r="CL172" i="5"/>
  <c r="BX172" i="5"/>
  <c r="FB171" i="5"/>
  <c r="CL171" i="5"/>
  <c r="FB170" i="5"/>
  <c r="CL170" i="5"/>
  <c r="FB169" i="5"/>
  <c r="CL169" i="5"/>
  <c r="FB168" i="5"/>
  <c r="CL168" i="5"/>
  <c r="CA168" i="5"/>
  <c r="FB167" i="5"/>
  <c r="CL167" i="5"/>
  <c r="CA167" i="5"/>
  <c r="FB166" i="5"/>
  <c r="CL166" i="5"/>
  <c r="CA166" i="5"/>
  <c r="FB165" i="5"/>
  <c r="CL165" i="5"/>
  <c r="CA165" i="5"/>
  <c r="FB164" i="5"/>
  <c r="CL164" i="5"/>
  <c r="CA164" i="5"/>
  <c r="FB163" i="5"/>
  <c r="CL163" i="5"/>
  <c r="CA163" i="5"/>
  <c r="FB162" i="5"/>
  <c r="CL162" i="5"/>
  <c r="CA162" i="5"/>
  <c r="FB161" i="5"/>
  <c r="CL161" i="5"/>
  <c r="CA161" i="5"/>
  <c r="FB160" i="5"/>
  <c r="CL160" i="5"/>
  <c r="CA160" i="5"/>
  <c r="FB159" i="5"/>
  <c r="CL159" i="5"/>
  <c r="CA159" i="5"/>
  <c r="FB158" i="5"/>
  <c r="CL158" i="5"/>
  <c r="CA158" i="5"/>
  <c r="FB157" i="5"/>
  <c r="CL157" i="5"/>
  <c r="CA157" i="5"/>
  <c r="FB156" i="5"/>
  <c r="CL156" i="5"/>
  <c r="CA156" i="5"/>
  <c r="FB155" i="5"/>
  <c r="CL155" i="5"/>
  <c r="CA155" i="5"/>
  <c r="FB154" i="5"/>
  <c r="CL154" i="5"/>
  <c r="CA154" i="5"/>
  <c r="FB153" i="5"/>
  <c r="CL153" i="5"/>
  <c r="CA153" i="5"/>
  <c r="FB152" i="5"/>
  <c r="CL152" i="5"/>
  <c r="CA152" i="5"/>
  <c r="FB151" i="5"/>
  <c r="CL151" i="5"/>
  <c r="CA151" i="5"/>
  <c r="FB150" i="5"/>
  <c r="CL150" i="5"/>
  <c r="CA150" i="5"/>
  <c r="FB149" i="5"/>
  <c r="CL149" i="5"/>
  <c r="CA149" i="5"/>
  <c r="BN149" i="5"/>
  <c r="FB148" i="5"/>
  <c r="CL148" i="5"/>
  <c r="CA148" i="5"/>
  <c r="FB147" i="5"/>
  <c r="CL147" i="5"/>
  <c r="CA147" i="5"/>
  <c r="FB146" i="5"/>
  <c r="CL146" i="5"/>
  <c r="CA146" i="5"/>
  <c r="FB145" i="5"/>
  <c r="DO145" i="5"/>
  <c r="CL145" i="5"/>
  <c r="CA145" i="5"/>
  <c r="FB144" i="5"/>
  <c r="CL144" i="5"/>
  <c r="CA144" i="5"/>
  <c r="FB143" i="5"/>
  <c r="CL143" i="5"/>
  <c r="CA143" i="5"/>
  <c r="BP143" i="5"/>
  <c r="FB142" i="5"/>
  <c r="CL142" i="5"/>
  <c r="CA142" i="5"/>
  <c r="BP142" i="5"/>
  <c r="FB141" i="5"/>
  <c r="CL141" i="5"/>
  <c r="CA141" i="5"/>
  <c r="BP141" i="5"/>
  <c r="FB140" i="5"/>
  <c r="CL140" i="5"/>
  <c r="CA140" i="5"/>
  <c r="BP140" i="5"/>
  <c r="FB139" i="5"/>
  <c r="DS139" i="5"/>
  <c r="CL139" i="5"/>
  <c r="CA139" i="5"/>
  <c r="BP139" i="5"/>
  <c r="FB138" i="5"/>
  <c r="DS138" i="5"/>
  <c r="CL138" i="5"/>
  <c r="CA138" i="5"/>
  <c r="BP138" i="5"/>
  <c r="FB137" i="5"/>
  <c r="DS137" i="5"/>
  <c r="CL137" i="5"/>
  <c r="CA137" i="5"/>
  <c r="BP137" i="5"/>
  <c r="FB136" i="5"/>
  <c r="DS136" i="5"/>
  <c r="CL136" i="5"/>
  <c r="CA136" i="5"/>
  <c r="BP136" i="5"/>
  <c r="FB135" i="5"/>
  <c r="DS135" i="5"/>
  <c r="CL135" i="5"/>
  <c r="CA135" i="5"/>
  <c r="BP135" i="5"/>
  <c r="FB134" i="5"/>
  <c r="DS134" i="5"/>
  <c r="CL134" i="5"/>
  <c r="CA134" i="5"/>
  <c r="BP134" i="5"/>
  <c r="FB133" i="5"/>
  <c r="DS133" i="5"/>
  <c r="CL133" i="5"/>
  <c r="CA133" i="5"/>
  <c r="BP133" i="5"/>
  <c r="FB132" i="5"/>
  <c r="CL132" i="5"/>
  <c r="CA132" i="5"/>
  <c r="BP132" i="5"/>
  <c r="FB131" i="5"/>
  <c r="DR131" i="5"/>
  <c r="DQ131" i="5"/>
  <c r="CL131" i="5"/>
  <c r="CA131" i="5"/>
  <c r="BP131" i="5"/>
  <c r="FB130" i="5"/>
  <c r="DS130" i="5"/>
  <c r="CL130" i="5"/>
  <c r="CA130" i="5"/>
  <c r="BP130" i="5"/>
  <c r="FB129" i="5"/>
  <c r="DS129" i="5"/>
  <c r="CL129" i="5"/>
  <c r="CD129" i="5"/>
  <c r="CD130" i="5" s="1"/>
  <c r="CD131" i="5" s="1"/>
  <c r="CD132" i="5" s="1"/>
  <c r="CC129" i="5"/>
  <c r="CC130" i="5" s="1"/>
  <c r="CC131" i="5" s="1"/>
  <c r="CC132" i="5" s="1"/>
  <c r="CC133" i="5" s="1"/>
  <c r="CA129" i="5"/>
  <c r="BP129" i="5"/>
  <c r="FB128" i="5"/>
  <c r="DS128" i="5"/>
  <c r="CL128" i="5"/>
  <c r="CA128" i="5"/>
  <c r="BP128" i="5"/>
  <c r="FB127" i="5"/>
  <c r="DS127" i="5"/>
  <c r="CL127" i="5"/>
  <c r="CC127" i="5"/>
  <c r="CA127" i="5"/>
  <c r="BV127" i="5"/>
  <c r="BV129" i="5" s="1"/>
  <c r="BV130" i="5" s="1"/>
  <c r="BV131" i="5" s="1"/>
  <c r="BV132" i="5" s="1"/>
  <c r="BV133" i="5" s="1"/>
  <c r="BP127" i="5"/>
  <c r="FB126" i="5"/>
  <c r="DS126" i="5"/>
  <c r="CL126" i="5"/>
  <c r="CA126" i="5"/>
  <c r="BP126" i="5"/>
  <c r="FB125" i="5"/>
  <c r="DS125" i="5"/>
  <c r="CL125" i="5"/>
  <c r="CD125" i="5"/>
  <c r="CD126" i="5" s="1"/>
  <c r="CC125" i="5"/>
  <c r="CA125" i="5"/>
  <c r="BP125" i="5"/>
  <c r="FB124" i="5"/>
  <c r="DS124" i="5"/>
  <c r="CL124" i="5"/>
  <c r="CD124" i="5"/>
  <c r="CA124" i="5"/>
  <c r="BP124" i="5"/>
  <c r="FB123" i="5"/>
  <c r="DS123" i="5"/>
  <c r="CL123" i="5"/>
  <c r="CA123" i="5"/>
  <c r="BP123" i="5"/>
  <c r="FB122" i="5"/>
  <c r="DS122" i="5"/>
  <c r="DM122" i="5"/>
  <c r="CL122" i="5"/>
  <c r="CC122" i="5"/>
  <c r="CA122" i="5"/>
  <c r="BP122" i="5"/>
  <c r="FB121" i="5"/>
  <c r="DS121" i="5"/>
  <c r="CL121" i="5"/>
  <c r="CA121" i="5"/>
  <c r="BP121" i="5"/>
  <c r="FB120" i="5"/>
  <c r="DS120" i="5"/>
  <c r="CL120" i="5"/>
  <c r="CA120" i="5"/>
  <c r="BP120" i="5"/>
  <c r="BK120" i="5"/>
  <c r="BK121" i="5" s="1"/>
  <c r="FB119" i="5"/>
  <c r="DS119" i="5"/>
  <c r="CL119" i="5"/>
  <c r="CA119" i="5"/>
  <c r="BP119" i="5"/>
  <c r="FB118" i="5"/>
  <c r="DS118" i="5"/>
  <c r="CL118" i="5"/>
  <c r="CA118" i="5"/>
  <c r="BP118" i="5"/>
  <c r="FB117" i="5"/>
  <c r="DY117" i="5"/>
  <c r="DS117" i="5"/>
  <c r="CL117" i="5"/>
  <c r="CA117" i="5"/>
  <c r="BP117" i="5"/>
  <c r="FB116" i="5"/>
  <c r="DS116" i="5"/>
  <c r="CT116" i="5"/>
  <c r="CL116" i="5"/>
  <c r="CA116" i="5"/>
  <c r="BP116" i="5"/>
  <c r="FB115" i="5"/>
  <c r="DS115" i="5"/>
  <c r="CL115" i="5"/>
  <c r="CA115" i="5"/>
  <c r="BP115" i="5"/>
  <c r="FT114" i="5"/>
  <c r="FB114" i="5"/>
  <c r="DS114" i="5"/>
  <c r="CL114" i="5"/>
  <c r="CA114" i="5"/>
  <c r="BP114" i="5"/>
  <c r="FT113" i="5"/>
  <c r="FB113" i="5"/>
  <c r="DS113" i="5"/>
  <c r="CL113" i="5"/>
  <c r="CA113" i="5"/>
  <c r="BP113" i="5"/>
  <c r="BK113" i="5"/>
  <c r="BK114" i="5" s="1"/>
  <c r="BK115" i="5" s="1"/>
  <c r="BK116" i="5" s="1"/>
  <c r="FT112" i="5"/>
  <c r="FE112" i="5"/>
  <c r="FD112" i="5"/>
  <c r="FB112" i="5"/>
  <c r="DS112" i="5"/>
  <c r="CW112" i="5"/>
  <c r="CL112" i="5"/>
  <c r="CA112" i="5"/>
  <c r="BP112" i="5"/>
  <c r="FB111" i="5"/>
  <c r="DS111" i="5"/>
  <c r="CW111" i="5"/>
  <c r="CL111" i="5"/>
  <c r="CA111" i="5"/>
  <c r="BP111" i="5"/>
  <c r="FE110" i="5"/>
  <c r="FB110" i="5"/>
  <c r="EC110" i="5"/>
  <c r="DS110" i="5"/>
  <c r="CW110" i="5"/>
  <c r="CL110" i="5"/>
  <c r="CA110" i="5"/>
  <c r="BP110" i="5"/>
  <c r="FB109" i="5"/>
  <c r="EW109" i="5"/>
  <c r="EC109" i="5"/>
  <c r="DS109" i="5"/>
  <c r="CW109" i="5"/>
  <c r="CL109" i="5"/>
  <c r="CA109" i="5"/>
  <c r="BP109" i="5"/>
  <c r="FW108" i="5"/>
  <c r="FB108" i="5"/>
  <c r="EC108" i="5"/>
  <c r="DS108" i="5"/>
  <c r="CW108" i="5"/>
  <c r="CL108" i="5"/>
  <c r="CA108" i="5"/>
  <c r="BP108" i="5"/>
  <c r="FW107" i="5"/>
  <c r="FB107" i="5"/>
  <c r="EW107" i="5"/>
  <c r="EC107" i="5"/>
  <c r="DS107" i="5"/>
  <c r="CW107" i="5"/>
  <c r="CL107" i="5"/>
  <c r="CA107" i="5"/>
  <c r="BR107" i="5"/>
  <c r="BR108" i="5" s="1"/>
  <c r="BR109" i="5" s="1"/>
  <c r="BR110" i="5" s="1"/>
  <c r="BR111" i="5" s="1"/>
  <c r="BR112" i="5" s="1"/>
  <c r="BR113" i="5" s="1"/>
  <c r="BR114" i="5" s="1"/>
  <c r="BR115" i="5" s="1"/>
  <c r="BR116" i="5" s="1"/>
  <c r="BR117" i="5" s="1"/>
  <c r="BR118" i="5" s="1"/>
  <c r="BR119" i="5" s="1"/>
  <c r="BR120" i="5" s="1"/>
  <c r="BR121" i="5" s="1"/>
  <c r="BR122" i="5" s="1"/>
  <c r="BP107" i="5"/>
  <c r="FW106" i="5"/>
  <c r="FB106" i="5"/>
  <c r="EC106" i="5"/>
  <c r="DS106" i="5"/>
  <c r="CW106" i="5"/>
  <c r="CL106" i="5"/>
  <c r="CA106" i="5"/>
  <c r="BP106" i="5"/>
  <c r="BK106" i="5"/>
  <c r="BK107" i="5" s="1"/>
  <c r="FW105" i="5"/>
  <c r="FB105" i="5"/>
  <c r="EW105" i="5"/>
  <c r="EC105" i="5"/>
  <c r="DS105" i="5"/>
  <c r="CW105" i="5"/>
  <c r="CL105" i="5"/>
  <c r="CA105" i="5"/>
  <c r="BP105" i="5"/>
  <c r="BK105" i="5"/>
  <c r="FW104" i="5"/>
  <c r="FB104" i="5"/>
  <c r="EC104" i="5"/>
  <c r="DS104" i="5"/>
  <c r="CW104" i="5"/>
  <c r="CL104" i="5"/>
  <c r="CA104" i="5"/>
  <c r="BR104" i="5"/>
  <c r="BR105" i="5" s="1"/>
  <c r="BR106" i="5" s="1"/>
  <c r="BP104" i="5"/>
  <c r="FW103" i="5"/>
  <c r="FB103" i="5"/>
  <c r="EC103" i="5"/>
  <c r="DS103" i="5"/>
  <c r="CW103" i="5"/>
  <c r="CL103" i="5"/>
  <c r="CA103" i="5"/>
  <c r="BR103" i="5"/>
  <c r="BP103" i="5"/>
  <c r="FW102" i="5"/>
  <c r="FE102" i="5"/>
  <c r="FE104" i="5" s="1"/>
  <c r="FE105" i="5" s="1"/>
  <c r="FE106" i="5" s="1"/>
  <c r="FE107" i="5" s="1"/>
  <c r="FE108" i="5" s="1"/>
  <c r="FD102" i="5"/>
  <c r="FD104" i="5" s="1"/>
  <c r="FD105" i="5" s="1"/>
  <c r="FD106" i="5" s="1"/>
  <c r="FD107" i="5" s="1"/>
  <c r="FD108" i="5" s="1"/>
  <c r="FD109" i="5" s="1"/>
  <c r="FD110" i="5" s="1"/>
  <c r="FB102" i="5"/>
  <c r="EW102" i="5"/>
  <c r="EC102" i="5"/>
  <c r="DS102" i="5"/>
  <c r="CW102" i="5"/>
  <c r="CL102" i="5"/>
  <c r="CA102" i="5"/>
  <c r="BS102" i="5"/>
  <c r="BS103" i="5" s="1"/>
  <c r="BS104" i="5" s="1"/>
  <c r="BS105" i="5" s="1"/>
  <c r="BS106" i="5" s="1"/>
  <c r="BS107" i="5" s="1"/>
  <c r="BS108" i="5" s="1"/>
  <c r="BS109" i="5" s="1"/>
  <c r="BS110" i="5" s="1"/>
  <c r="BS111" i="5" s="1"/>
  <c r="BS112" i="5" s="1"/>
  <c r="BS113" i="5" s="1"/>
  <c r="BS114" i="5" s="1"/>
  <c r="BS115" i="5" s="1"/>
  <c r="BS116" i="5" s="1"/>
  <c r="BS117" i="5" s="1"/>
  <c r="BS118" i="5" s="1"/>
  <c r="BS119" i="5" s="1"/>
  <c r="BS120" i="5" s="1"/>
  <c r="BS121" i="5" s="1"/>
  <c r="BS122" i="5" s="1"/>
  <c r="BR102" i="5"/>
  <c r="BP102" i="5"/>
  <c r="FW101" i="5"/>
  <c r="FE101" i="5"/>
  <c r="FD101" i="5"/>
  <c r="FB101" i="5"/>
  <c r="EC101" i="5"/>
  <c r="DS101" i="5"/>
  <c r="CW101" i="5"/>
  <c r="CL101" i="5"/>
  <c r="CA101" i="5"/>
  <c r="BP101" i="5"/>
  <c r="BK101" i="5"/>
  <c r="BK102" i="5" s="1"/>
  <c r="BK103" i="5" s="1"/>
  <c r="FW100" i="5"/>
  <c r="FB100" i="5"/>
  <c r="EC100" i="5"/>
  <c r="DS100" i="5"/>
  <c r="CW100" i="5"/>
  <c r="CL100" i="5"/>
  <c r="CA100" i="5"/>
  <c r="BR100" i="5"/>
  <c r="BP100" i="5"/>
  <c r="FW99" i="5"/>
  <c r="FB99" i="5"/>
  <c r="EC99" i="5"/>
  <c r="DS99" i="5"/>
  <c r="CW99" i="5"/>
  <c r="CL99" i="5"/>
  <c r="CA99" i="5"/>
  <c r="BS99" i="5"/>
  <c r="BS100" i="5" s="1"/>
  <c r="BS101" i="5" s="1"/>
  <c r="BR99" i="5"/>
  <c r="BP99" i="5"/>
  <c r="FW98" i="5"/>
  <c r="FE98" i="5"/>
  <c r="FE99" i="5" s="1"/>
  <c r="FB98" i="5"/>
  <c r="EC98" i="5"/>
  <c r="DS98" i="5"/>
  <c r="CW98" i="5"/>
  <c r="CL98" i="5"/>
  <c r="CA98" i="5"/>
  <c r="BP98" i="5"/>
  <c r="BK98" i="5"/>
  <c r="BK99" i="5" s="1"/>
  <c r="FW97" i="5"/>
  <c r="FB97" i="5"/>
  <c r="EC97" i="5"/>
  <c r="DS97" i="5"/>
  <c r="CW97" i="5"/>
  <c r="CN97" i="5"/>
  <c r="CL97" i="5"/>
  <c r="CA97" i="5"/>
  <c r="BP97" i="5"/>
  <c r="FW96" i="5"/>
  <c r="FD96" i="5"/>
  <c r="FD97" i="5" s="1"/>
  <c r="FD98" i="5" s="1"/>
  <c r="FD99" i="5" s="1"/>
  <c r="FB96" i="5"/>
  <c r="EC96" i="5"/>
  <c r="DS96" i="5"/>
  <c r="CW96" i="5"/>
  <c r="CL96" i="5"/>
  <c r="CA96" i="5"/>
  <c r="BP96" i="5"/>
  <c r="BK96" i="5"/>
  <c r="FW95" i="5"/>
  <c r="FE95" i="5"/>
  <c r="FE96" i="5" s="1"/>
  <c r="FD95" i="5"/>
  <c r="FB95" i="5"/>
  <c r="EC95" i="5"/>
  <c r="DS95" i="5"/>
  <c r="CW95" i="5"/>
  <c r="CL95" i="5"/>
  <c r="CG95" i="5"/>
  <c r="CA95" i="5"/>
  <c r="BS95" i="5"/>
  <c r="BS96" i="5" s="1"/>
  <c r="BS97" i="5" s="1"/>
  <c r="BR95" i="5"/>
  <c r="BR96" i="5" s="1"/>
  <c r="BR97" i="5" s="1"/>
  <c r="BP95" i="5"/>
  <c r="FW94" i="5"/>
  <c r="FB94" i="5"/>
  <c r="EC94" i="5"/>
  <c r="DS94" i="5"/>
  <c r="CW94" i="5"/>
  <c r="CL94" i="5"/>
  <c r="CA94" i="5"/>
  <c r="BS94" i="5"/>
  <c r="BR94" i="5"/>
  <c r="BP94" i="5"/>
  <c r="FW93" i="5"/>
  <c r="FE93" i="5"/>
  <c r="FD93" i="5"/>
  <c r="FB93" i="5"/>
  <c r="EW93" i="5"/>
  <c r="EC93" i="5"/>
  <c r="DS93" i="5"/>
  <c r="CW93" i="5"/>
  <c r="CL93" i="5"/>
  <c r="CG93" i="5"/>
  <c r="CA93" i="5"/>
  <c r="BP93" i="5"/>
  <c r="FW92" i="5"/>
  <c r="FB92" i="5"/>
  <c r="EC92" i="5"/>
  <c r="DS92" i="5"/>
  <c r="CW92" i="5"/>
  <c r="CO92" i="5"/>
  <c r="CO93" i="5" s="1"/>
  <c r="CO94" i="5" s="1"/>
  <c r="CO95" i="5" s="1"/>
  <c r="CL92" i="5"/>
  <c r="CA92" i="5"/>
  <c r="BP92" i="5"/>
  <c r="FW91" i="5"/>
  <c r="FB91" i="5"/>
  <c r="EC91" i="5"/>
  <c r="DS91" i="5"/>
  <c r="CW91" i="5"/>
  <c r="CN91" i="5"/>
  <c r="CN92" i="5" s="1"/>
  <c r="CN93" i="5" s="1"/>
  <c r="CN94" i="5" s="1"/>
  <c r="CN95" i="5" s="1"/>
  <c r="CL91" i="5"/>
  <c r="CA91" i="5"/>
  <c r="BP91" i="5"/>
  <c r="FW90" i="5"/>
  <c r="FB90" i="5"/>
  <c r="EC90" i="5"/>
  <c r="DS90" i="5"/>
  <c r="CW90" i="5"/>
  <c r="CL90" i="5"/>
  <c r="CA90" i="5"/>
  <c r="BP90" i="5"/>
  <c r="FW89" i="5"/>
  <c r="FB89" i="5"/>
  <c r="EC89" i="5"/>
  <c r="DS89" i="5"/>
  <c r="DE89" i="5"/>
  <c r="CW89" i="5"/>
  <c r="CL89" i="5"/>
  <c r="CA89" i="5"/>
  <c r="FW88" i="5"/>
  <c r="FB88" i="5"/>
  <c r="EC88" i="5"/>
  <c r="DS88" i="5"/>
  <c r="CW88" i="5"/>
  <c r="CN88" i="5"/>
  <c r="CL88" i="5"/>
  <c r="CA88" i="5"/>
  <c r="FW87" i="5"/>
  <c r="FB87" i="5"/>
  <c r="EC87" i="5"/>
  <c r="DS87" i="5"/>
  <c r="CW87" i="5"/>
  <c r="CO87" i="5"/>
  <c r="CN87" i="5"/>
  <c r="CL87" i="5"/>
  <c r="CA87" i="5"/>
  <c r="FW86" i="5"/>
  <c r="FB86" i="5"/>
  <c r="EC86" i="5"/>
  <c r="DS86" i="5"/>
  <c r="CW86" i="5"/>
  <c r="CL86" i="5"/>
  <c r="BP86" i="5"/>
  <c r="FW85" i="5"/>
  <c r="FB85" i="5"/>
  <c r="EC85" i="5"/>
  <c r="DS85" i="5"/>
  <c r="CW85" i="5"/>
  <c r="CL85" i="5"/>
  <c r="BP85" i="5"/>
  <c r="FW84" i="5"/>
  <c r="FB84" i="5"/>
  <c r="EC84" i="5"/>
  <c r="DS84" i="5"/>
  <c r="CW84" i="5"/>
  <c r="CL84" i="5"/>
  <c r="CA84" i="5"/>
  <c r="BP84" i="5"/>
  <c r="FW83" i="5"/>
  <c r="FB83" i="5"/>
  <c r="EC83" i="5"/>
  <c r="DS83" i="5"/>
  <c r="CW83" i="5"/>
  <c r="CA83" i="5"/>
  <c r="BP83" i="5"/>
  <c r="FW82" i="5"/>
  <c r="EC82" i="5"/>
  <c r="DS82" i="5"/>
  <c r="CW82" i="5"/>
  <c r="CL82" i="5"/>
  <c r="CJ82" i="5"/>
  <c r="CL83" i="5" s="1"/>
  <c r="CA82" i="5"/>
  <c r="BP82" i="5"/>
  <c r="FW81" i="5"/>
  <c r="EC81" i="5"/>
  <c r="DS81" i="5"/>
  <c r="CW81" i="5"/>
  <c r="CL81" i="5"/>
  <c r="CA81" i="5"/>
  <c r="BP81" i="5"/>
  <c r="FW80" i="5"/>
  <c r="EC80" i="5"/>
  <c r="DS80" i="5"/>
  <c r="CW80" i="5"/>
  <c r="CO80" i="5"/>
  <c r="CO81" i="5" s="1"/>
  <c r="CO82" i="5" s="1"/>
  <c r="CO83" i="5" s="1"/>
  <c r="CO84" i="5" s="1"/>
  <c r="CO85" i="5" s="1"/>
  <c r="CL80" i="5"/>
  <c r="CA80" i="5"/>
  <c r="BP80" i="5"/>
  <c r="FW79" i="5"/>
  <c r="EC79" i="5"/>
  <c r="DS79" i="5"/>
  <c r="CW79" i="5"/>
  <c r="CL79" i="5"/>
  <c r="CA79" i="5"/>
  <c r="BP79" i="5"/>
  <c r="FW78" i="5"/>
  <c r="EC78" i="5"/>
  <c r="DS78" i="5"/>
  <c r="CW78" i="5"/>
  <c r="CO78" i="5"/>
  <c r="CN78" i="5"/>
  <c r="CN80" i="5" s="1"/>
  <c r="CN81" i="5" s="1"/>
  <c r="CN82" i="5" s="1"/>
  <c r="CN83" i="5" s="1"/>
  <c r="CN84" i="5" s="1"/>
  <c r="CN85" i="5" s="1"/>
  <c r="CL78" i="5"/>
  <c r="CA78" i="5"/>
  <c r="BP78" i="5"/>
  <c r="FW77" i="5"/>
  <c r="EC77" i="5"/>
  <c r="DS77" i="5"/>
  <c r="CW77" i="5"/>
  <c r="CL77" i="5"/>
  <c r="CA77" i="5"/>
  <c r="BP77" i="5"/>
  <c r="FW76" i="5"/>
  <c r="EC76" i="5"/>
  <c r="DS76" i="5"/>
  <c r="CW76" i="5"/>
  <c r="CL76" i="5"/>
  <c r="CA76" i="5"/>
  <c r="BP76" i="5"/>
  <c r="FW75" i="5"/>
  <c r="EC75" i="5"/>
  <c r="DU75" i="5"/>
  <c r="DU76" i="5" s="1"/>
  <c r="DU77" i="5" s="1"/>
  <c r="DS75" i="5"/>
  <c r="CW75" i="5"/>
  <c r="CL75" i="5"/>
  <c r="CA75" i="5"/>
  <c r="BP75" i="5"/>
  <c r="FW74" i="5"/>
  <c r="EC74" i="5"/>
  <c r="DS74" i="5"/>
  <c r="DN74" i="5"/>
  <c r="DN75" i="5" s="1"/>
  <c r="DN76" i="5" s="1"/>
  <c r="DN77" i="5" s="1"/>
  <c r="CW74" i="5"/>
  <c r="CL74" i="5"/>
  <c r="CA74" i="5"/>
  <c r="BP74" i="5"/>
  <c r="S74" i="5"/>
  <c r="FW73" i="5"/>
  <c r="EC73" i="5"/>
  <c r="DS73" i="5"/>
  <c r="CW73" i="5"/>
  <c r="CL73" i="5"/>
  <c r="CA73" i="5"/>
  <c r="BP73" i="5"/>
  <c r="S73" i="5"/>
  <c r="FW72" i="5"/>
  <c r="EC72" i="5"/>
  <c r="DU72" i="5"/>
  <c r="DS72" i="5"/>
  <c r="CW72" i="5"/>
  <c r="CL72" i="5"/>
  <c r="CA72" i="5"/>
  <c r="BP72" i="5"/>
  <c r="FW71" i="5"/>
  <c r="EC71" i="5"/>
  <c r="DS71" i="5"/>
  <c r="CW71" i="5"/>
  <c r="CL71" i="5"/>
  <c r="CA71" i="5"/>
  <c r="V71" i="5"/>
  <c r="FW70" i="5"/>
  <c r="EC70" i="5"/>
  <c r="DS70" i="5"/>
  <c r="CW70" i="5"/>
  <c r="CL70" i="5"/>
  <c r="CA70" i="5"/>
  <c r="BP70" i="5"/>
  <c r="V70" i="5"/>
  <c r="FW69" i="5"/>
  <c r="EC69" i="5"/>
  <c r="DS69" i="5"/>
  <c r="DN69" i="5"/>
  <c r="DH69" i="5"/>
  <c r="CW69" i="5"/>
  <c r="CL69" i="5"/>
  <c r="CA69" i="5"/>
  <c r="BP69" i="5"/>
  <c r="V69" i="5"/>
  <c r="FW68" i="5"/>
  <c r="EC68" i="5"/>
  <c r="DS68" i="5"/>
  <c r="DH68" i="5"/>
  <c r="CW68" i="5"/>
  <c r="CL68" i="5"/>
  <c r="CA68" i="5"/>
  <c r="BP68" i="5"/>
  <c r="V68" i="5"/>
  <c r="FW67" i="5"/>
  <c r="EC67" i="5"/>
  <c r="DU67" i="5"/>
  <c r="DU68" i="5" s="1"/>
  <c r="DU69" i="5" s="1"/>
  <c r="DS67" i="5"/>
  <c r="DN67" i="5"/>
  <c r="DH67" i="5"/>
  <c r="CW67" i="5"/>
  <c r="CL67" i="5"/>
  <c r="CA67" i="5"/>
  <c r="BP67" i="5"/>
  <c r="V67" i="5"/>
  <c r="FW66" i="5"/>
  <c r="EC66" i="5"/>
  <c r="DS66" i="5"/>
  <c r="DN66" i="5"/>
  <c r="DH66" i="5"/>
  <c r="CW66" i="5"/>
  <c r="CL66" i="5"/>
  <c r="CA66" i="5"/>
  <c r="BP66" i="5"/>
  <c r="V66" i="5"/>
  <c r="EC65" i="5"/>
  <c r="DU65" i="5"/>
  <c r="DS65" i="5"/>
  <c r="DH65" i="5"/>
  <c r="CW65" i="5"/>
  <c r="CL65" i="5"/>
  <c r="CA65" i="5"/>
  <c r="BP65" i="5"/>
  <c r="V65" i="5"/>
  <c r="EC64" i="5"/>
  <c r="DS64" i="5"/>
  <c r="DH64" i="5"/>
  <c r="CW64" i="5"/>
  <c r="CL64" i="5"/>
  <c r="CA64" i="5"/>
  <c r="BP64" i="5"/>
  <c r="V64" i="5"/>
  <c r="GN63" i="5"/>
  <c r="EC63" i="5"/>
  <c r="DS63" i="5"/>
  <c r="DN63" i="5"/>
  <c r="DH63" i="5"/>
  <c r="CW63" i="5"/>
  <c r="CL63" i="5"/>
  <c r="CA63" i="5"/>
  <c r="BP63" i="5"/>
  <c r="V63" i="5"/>
  <c r="EC62" i="5"/>
  <c r="DS62" i="5"/>
  <c r="DH62" i="5"/>
  <c r="CL62" i="5"/>
  <c r="CA62" i="5"/>
  <c r="BP62" i="5"/>
  <c r="V62" i="5"/>
  <c r="FZ61" i="5"/>
  <c r="FW61" i="5"/>
  <c r="FR61" i="5"/>
  <c r="EC61" i="5"/>
  <c r="DS61" i="5"/>
  <c r="DN61" i="5"/>
  <c r="DH61" i="5"/>
  <c r="CW61" i="5"/>
  <c r="CL61" i="5"/>
  <c r="CA61" i="5"/>
  <c r="BP61" i="5"/>
  <c r="V61" i="5"/>
  <c r="FZ60" i="5"/>
  <c r="FW60" i="5"/>
  <c r="EC60" i="5"/>
  <c r="DS60" i="5"/>
  <c r="DH60" i="5"/>
  <c r="CW60" i="5"/>
  <c r="CR60" i="5"/>
  <c r="CL60" i="5"/>
  <c r="CA60" i="5"/>
  <c r="BP60" i="5"/>
  <c r="V60" i="5"/>
  <c r="GR59" i="5"/>
  <c r="FY59" i="5"/>
  <c r="FY60" i="5" s="1"/>
  <c r="FY61" i="5" s="1"/>
  <c r="FW59" i="5"/>
  <c r="EC59" i="5"/>
  <c r="DS59" i="5"/>
  <c r="DH59" i="5"/>
  <c r="CW59" i="5"/>
  <c r="CL59" i="5"/>
  <c r="BP59" i="5"/>
  <c r="V59" i="5"/>
  <c r="FZ58" i="5"/>
  <c r="FY58" i="5"/>
  <c r="FW58" i="5"/>
  <c r="EC58" i="5"/>
  <c r="DS58" i="5"/>
  <c r="DH58" i="5"/>
  <c r="CW58" i="5"/>
  <c r="CR58" i="5"/>
  <c r="CL58" i="5"/>
  <c r="CA58" i="5"/>
  <c r="BP58" i="5"/>
  <c r="V58" i="5"/>
  <c r="GR57" i="5"/>
  <c r="FW57" i="5"/>
  <c r="EC57" i="5"/>
  <c r="DU57" i="5"/>
  <c r="DU58" i="5" s="1"/>
  <c r="DU59" i="5" s="1"/>
  <c r="DU60" i="5" s="1"/>
  <c r="DU61" i="5" s="1"/>
  <c r="DS57" i="5"/>
  <c r="DN57" i="5"/>
  <c r="DH57" i="5"/>
  <c r="CZ57" i="5"/>
  <c r="CZ58" i="5" s="1"/>
  <c r="CZ59" i="5" s="1"/>
  <c r="CZ60" i="5" s="1"/>
  <c r="CY57" i="5"/>
  <c r="CY58" i="5" s="1"/>
  <c r="CY59" i="5" s="1"/>
  <c r="CY60" i="5" s="1"/>
  <c r="CW57" i="5"/>
  <c r="CL57" i="5"/>
  <c r="CA57" i="5"/>
  <c r="BP57" i="5"/>
  <c r="V57" i="5"/>
  <c r="GR56" i="5"/>
  <c r="FZ56" i="5"/>
  <c r="FY56" i="5"/>
  <c r="FW56" i="5"/>
  <c r="EC56" i="5"/>
  <c r="DS56" i="5"/>
  <c r="CW56" i="5"/>
  <c r="CR56" i="5"/>
  <c r="CL56" i="5"/>
  <c r="CA56" i="5"/>
  <c r="BP56" i="5"/>
  <c r="V56" i="5"/>
  <c r="GR55" i="5"/>
  <c r="FW55" i="5"/>
  <c r="EC55" i="5"/>
  <c r="DU55" i="5"/>
  <c r="DS55" i="5"/>
  <c r="DH55" i="5"/>
  <c r="CY55" i="5"/>
  <c r="CW55" i="5"/>
  <c r="CL55" i="5"/>
  <c r="BP55" i="5"/>
  <c r="V55" i="5"/>
  <c r="GR54" i="5"/>
  <c r="FW54" i="5"/>
  <c r="FL54" i="5"/>
  <c r="EC54" i="5"/>
  <c r="DS54" i="5"/>
  <c r="DN54" i="5"/>
  <c r="DN55" i="5" s="1"/>
  <c r="DH54" i="5"/>
  <c r="CW54" i="5"/>
  <c r="CL54" i="5"/>
  <c r="V54" i="5"/>
  <c r="GR53" i="5"/>
  <c r="FW53" i="5"/>
  <c r="FL53" i="5"/>
  <c r="EC53" i="5"/>
  <c r="DU53" i="5"/>
  <c r="DU54" i="5" s="1"/>
  <c r="DS53" i="5"/>
  <c r="DH53" i="5"/>
  <c r="CW53" i="5"/>
  <c r="CL53" i="5"/>
  <c r="CA53" i="5"/>
  <c r="BP53" i="5"/>
  <c r="V53" i="5"/>
  <c r="GY52" i="5"/>
  <c r="GR52" i="5"/>
  <c r="FW52" i="5"/>
  <c r="FL52" i="5"/>
  <c r="EC52" i="5"/>
  <c r="DS52" i="5"/>
  <c r="DH52" i="5"/>
  <c r="CW52" i="5"/>
  <c r="CL52" i="5"/>
  <c r="CA52" i="5"/>
  <c r="BP52" i="5"/>
  <c r="V52" i="5"/>
  <c r="LA51" i="5"/>
  <c r="GR51" i="5"/>
  <c r="FW51" i="5"/>
  <c r="FL51" i="5"/>
  <c r="EC51" i="5"/>
  <c r="DV51" i="5"/>
  <c r="DV52" i="5" s="1"/>
  <c r="DV53" i="5" s="1"/>
  <c r="DV54" i="5" s="1"/>
  <c r="DV55" i="5" s="1"/>
  <c r="DV56" i="5" s="1"/>
  <c r="DV57" i="5" s="1"/>
  <c r="DV58" i="5" s="1"/>
  <c r="DV59" i="5" s="1"/>
  <c r="DV60" i="5" s="1"/>
  <c r="DV61" i="5" s="1"/>
  <c r="DV62" i="5" s="1"/>
  <c r="DS51" i="5"/>
  <c r="DH51" i="5"/>
  <c r="CW51" i="5"/>
  <c r="CL51" i="5"/>
  <c r="CA51" i="5"/>
  <c r="BP51" i="5"/>
  <c r="V51" i="5"/>
  <c r="LA50" i="5"/>
  <c r="GR50" i="5"/>
  <c r="FW50" i="5"/>
  <c r="FL50" i="5"/>
  <c r="EC50" i="5"/>
  <c r="DS50" i="5"/>
  <c r="DH50" i="5"/>
  <c r="CW50" i="5"/>
  <c r="CL50" i="5"/>
  <c r="CA50" i="5"/>
  <c r="BP50" i="5"/>
  <c r="V50" i="5"/>
  <c r="LA49" i="5"/>
  <c r="HC49" i="5"/>
  <c r="GR49" i="5"/>
  <c r="FW49" i="5"/>
  <c r="FL49" i="5"/>
  <c r="EC49" i="5"/>
  <c r="DS49" i="5"/>
  <c r="DH49" i="5"/>
  <c r="CW49" i="5"/>
  <c r="CL49" i="5"/>
  <c r="CA49" i="5"/>
  <c r="BP49" i="5"/>
  <c r="V49" i="5"/>
  <c r="LH48" i="5"/>
  <c r="LA48" i="5"/>
  <c r="HC48" i="5"/>
  <c r="GR48" i="5"/>
  <c r="FW48" i="5"/>
  <c r="FL48" i="5"/>
  <c r="EC48" i="5"/>
  <c r="DS48" i="5"/>
  <c r="DH48" i="5"/>
  <c r="CW48" i="5"/>
  <c r="CL48" i="5"/>
  <c r="CA48" i="5"/>
  <c r="BP48" i="5"/>
  <c r="V48" i="5"/>
  <c r="LH47" i="5"/>
  <c r="LA47" i="5"/>
  <c r="HC47" i="5"/>
  <c r="GR47" i="5"/>
  <c r="FW47" i="5"/>
  <c r="FL47" i="5"/>
  <c r="EC47" i="5"/>
  <c r="DS47" i="5"/>
  <c r="DH47" i="5"/>
  <c r="CW47" i="5"/>
  <c r="CL47" i="5"/>
  <c r="CA47" i="5"/>
  <c r="BP47" i="5"/>
  <c r="V47" i="5"/>
  <c r="LH46" i="5"/>
  <c r="LA46" i="5"/>
  <c r="HC46" i="5"/>
  <c r="GR46" i="5"/>
  <c r="FW46" i="5"/>
  <c r="FL46" i="5"/>
  <c r="EL46" i="5"/>
  <c r="EL45" i="5" s="1"/>
  <c r="EC46" i="5"/>
  <c r="DS46" i="5"/>
  <c r="DH46" i="5"/>
  <c r="CW46" i="5"/>
  <c r="CL46" i="5"/>
  <c r="CA46" i="5"/>
  <c r="BP46" i="5"/>
  <c r="V46" i="5"/>
  <c r="LH45" i="5"/>
  <c r="LA45" i="5"/>
  <c r="HC45" i="5"/>
  <c r="GR45" i="5"/>
  <c r="FW45" i="5"/>
  <c r="FL45" i="5"/>
  <c r="EC45" i="5"/>
  <c r="DS45" i="5"/>
  <c r="DH45" i="5"/>
  <c r="CW45" i="5"/>
  <c r="CL45" i="5"/>
  <c r="CA45" i="5"/>
  <c r="BP45" i="5"/>
  <c r="AY45" i="5"/>
  <c r="V45" i="5"/>
  <c r="LH44" i="5"/>
  <c r="LA44" i="5"/>
  <c r="HY44" i="5"/>
  <c r="HC44" i="5"/>
  <c r="GR44" i="5"/>
  <c r="FW44" i="5"/>
  <c r="FL44" i="5"/>
  <c r="EC44" i="5"/>
  <c r="DS44" i="5"/>
  <c r="DH44" i="5"/>
  <c r="CW44" i="5"/>
  <c r="CL44" i="5"/>
  <c r="CA44" i="5"/>
  <c r="BP44" i="5"/>
  <c r="V44" i="5"/>
  <c r="LH43" i="5"/>
  <c r="LA43" i="5"/>
  <c r="HY43" i="5"/>
  <c r="HC43" i="5"/>
  <c r="GR43" i="5"/>
  <c r="FW43" i="5"/>
  <c r="FL43" i="5"/>
  <c r="EC43" i="5"/>
  <c r="DS43" i="5"/>
  <c r="DH43" i="5"/>
  <c r="CW43" i="5"/>
  <c r="CL43" i="5"/>
  <c r="CA43" i="5"/>
  <c r="BP43" i="5"/>
  <c r="V43" i="5"/>
  <c r="LH42" i="5"/>
  <c r="LA42" i="5"/>
  <c r="HY42" i="5"/>
  <c r="HC42" i="5"/>
  <c r="GR42" i="5"/>
  <c r="FW42" i="5"/>
  <c r="FL42" i="5"/>
  <c r="EC42" i="5"/>
  <c r="DS42" i="5"/>
  <c r="DH42" i="5"/>
  <c r="CW42" i="5"/>
  <c r="CL42" i="5"/>
  <c r="CA42" i="5"/>
  <c r="BP42" i="5"/>
  <c r="V42" i="5"/>
  <c r="LH41" i="5"/>
  <c r="LA41" i="5"/>
  <c r="HY41" i="5"/>
  <c r="HC41" i="5"/>
  <c r="GR41" i="5"/>
  <c r="FW41" i="5"/>
  <c r="FL41" i="5"/>
  <c r="EC41" i="5"/>
  <c r="DS41" i="5"/>
  <c r="DH41" i="5"/>
  <c r="CW41" i="5"/>
  <c r="CL41" i="5"/>
  <c r="CA41" i="5"/>
  <c r="BP41" i="5"/>
  <c r="V41" i="5"/>
  <c r="LH40" i="5"/>
  <c r="LA40" i="5"/>
  <c r="HY40" i="5"/>
  <c r="HC40" i="5"/>
  <c r="GR40" i="5"/>
  <c r="FW40" i="5"/>
  <c r="FL40" i="5"/>
  <c r="EC40" i="5"/>
  <c r="DS40" i="5"/>
  <c r="DH40" i="5"/>
  <c r="CW40" i="5"/>
  <c r="CL40" i="5"/>
  <c r="CA40" i="5"/>
  <c r="BP40" i="5"/>
  <c r="V40" i="5"/>
  <c r="LH39" i="5"/>
  <c r="LA39" i="5"/>
  <c r="HY39" i="5"/>
  <c r="HC39" i="5"/>
  <c r="GR39" i="5"/>
  <c r="FW39" i="5"/>
  <c r="FL39" i="5"/>
  <c r="EC39" i="5"/>
  <c r="DS39" i="5"/>
  <c r="DH39" i="5"/>
  <c r="CW39" i="5"/>
  <c r="CL39" i="5"/>
  <c r="CA39" i="5"/>
  <c r="BP39" i="5"/>
  <c r="V39" i="5"/>
  <c r="LH38" i="5"/>
  <c r="LA38" i="5"/>
  <c r="HY38" i="5"/>
  <c r="HC38" i="5"/>
  <c r="GR38" i="5"/>
  <c r="FW38" i="5"/>
  <c r="FL38" i="5"/>
  <c r="EO38" i="5"/>
  <c r="EC38" i="5"/>
  <c r="DS38" i="5"/>
  <c r="CW38" i="5"/>
  <c r="CL38" i="5"/>
  <c r="CA38" i="5"/>
  <c r="BP38" i="5"/>
  <c r="BC38" i="5"/>
  <c r="V38" i="5"/>
  <c r="LH37" i="5"/>
  <c r="LA37" i="5"/>
  <c r="HY37" i="5"/>
  <c r="HC37" i="5"/>
  <c r="GR37" i="5"/>
  <c r="FW37" i="5"/>
  <c r="FL37" i="5"/>
  <c r="EO37" i="5"/>
  <c r="EC37" i="5"/>
  <c r="DS37" i="5"/>
  <c r="DH37" i="5"/>
  <c r="CW37" i="5"/>
  <c r="CL37" i="5"/>
  <c r="CA37" i="5"/>
  <c r="BP37" i="5"/>
  <c r="BC37" i="5"/>
  <c r="V37" i="5"/>
  <c r="LH36" i="5"/>
  <c r="LA36" i="5"/>
  <c r="HY36" i="5"/>
  <c r="HC36" i="5"/>
  <c r="GR36" i="5"/>
  <c r="FW36" i="5"/>
  <c r="FL36" i="5"/>
  <c r="EO36" i="5"/>
  <c r="EC36" i="5"/>
  <c r="DS36" i="5"/>
  <c r="DH36" i="5"/>
  <c r="CW36" i="5"/>
  <c r="CL36" i="5"/>
  <c r="CA36" i="5"/>
  <c r="BP36" i="5"/>
  <c r="BC36" i="5"/>
  <c r="V36" i="5"/>
  <c r="LH35" i="5"/>
  <c r="LA35" i="5"/>
  <c r="HY35" i="5"/>
  <c r="HC35" i="5"/>
  <c r="GR35" i="5"/>
  <c r="FW35" i="5"/>
  <c r="FL35" i="5"/>
  <c r="FB35" i="5"/>
  <c r="EO35" i="5"/>
  <c r="EC35" i="5"/>
  <c r="DS35" i="5"/>
  <c r="DH35" i="5"/>
  <c r="CW35" i="5"/>
  <c r="CL35" i="5"/>
  <c r="CA35" i="5"/>
  <c r="BP35" i="5"/>
  <c r="BC35" i="5"/>
  <c r="V35" i="5"/>
  <c r="LH34" i="5"/>
  <c r="LA34" i="5"/>
  <c r="HY34" i="5"/>
  <c r="HC34" i="5"/>
  <c r="GR34" i="5"/>
  <c r="FW34" i="5"/>
  <c r="FL34" i="5"/>
  <c r="FB34" i="5"/>
  <c r="EO34" i="5"/>
  <c r="EC34" i="5"/>
  <c r="DS34" i="5"/>
  <c r="DH34" i="5"/>
  <c r="CW34" i="5"/>
  <c r="CL34" i="5"/>
  <c r="CA34" i="5"/>
  <c r="BP34" i="5"/>
  <c r="BC34" i="5"/>
  <c r="V34" i="5"/>
  <c r="LH33" i="5"/>
  <c r="LA33" i="5"/>
  <c r="HY33" i="5"/>
  <c r="HC33" i="5"/>
  <c r="GR33" i="5"/>
  <c r="FW33" i="5"/>
  <c r="FL33" i="5"/>
  <c r="FB33" i="5"/>
  <c r="EO33" i="5"/>
  <c r="EC33" i="5"/>
  <c r="DS33" i="5"/>
  <c r="DH33" i="5"/>
  <c r="CW33" i="5"/>
  <c r="CL33" i="5"/>
  <c r="CA33" i="5"/>
  <c r="BP33" i="5"/>
  <c r="BC33" i="5"/>
  <c r="V33" i="5"/>
  <c r="LH32" i="5"/>
  <c r="HY32" i="5"/>
  <c r="HC32" i="5"/>
  <c r="GR32" i="5"/>
  <c r="GC32" i="5"/>
  <c r="FW32" i="5"/>
  <c r="FL32" i="5"/>
  <c r="FB32" i="5"/>
  <c r="EO32" i="5"/>
  <c r="EC32" i="5"/>
  <c r="DS32" i="5"/>
  <c r="DH32" i="5"/>
  <c r="CW32" i="5"/>
  <c r="CL32" i="5"/>
  <c r="CA32" i="5"/>
  <c r="BP32" i="5"/>
  <c r="BC32" i="5"/>
  <c r="V32" i="5"/>
  <c r="HY31" i="5"/>
  <c r="HC31" i="5"/>
  <c r="GR31" i="5"/>
  <c r="FW31" i="5"/>
  <c r="FL31" i="5"/>
  <c r="FB31" i="5"/>
  <c r="EO31" i="5"/>
  <c r="EC31" i="5"/>
  <c r="DS31" i="5"/>
  <c r="DH31" i="5"/>
  <c r="CW31" i="5"/>
  <c r="CL31" i="5"/>
  <c r="CA31" i="5"/>
  <c r="BP31" i="5"/>
  <c r="BC31" i="5"/>
  <c r="V31" i="5"/>
  <c r="HY30" i="5"/>
  <c r="HC30" i="5"/>
  <c r="GR30" i="5"/>
  <c r="FL30" i="5"/>
  <c r="FB30" i="5"/>
  <c r="EO30" i="5"/>
  <c r="EC30" i="5"/>
  <c r="DS30" i="5"/>
  <c r="DH30" i="5"/>
  <c r="CW30" i="5"/>
  <c r="CL30" i="5"/>
  <c r="CA30" i="5"/>
  <c r="BP30" i="5"/>
  <c r="BC30" i="5"/>
  <c r="V30" i="5"/>
  <c r="HY29" i="5"/>
  <c r="HC29" i="5"/>
  <c r="GR29" i="5"/>
  <c r="FW29" i="5"/>
  <c r="FL29" i="5"/>
  <c r="FB29" i="5"/>
  <c r="EO29" i="5"/>
  <c r="EC29" i="5"/>
  <c r="DS29" i="5"/>
  <c r="DH29" i="5"/>
  <c r="CW29" i="5"/>
  <c r="CL29" i="5"/>
  <c r="CA29" i="5"/>
  <c r="BP29" i="5"/>
  <c r="BC29" i="5"/>
  <c r="V29" i="5"/>
  <c r="HC28" i="5"/>
  <c r="GR28" i="5"/>
  <c r="FW28" i="5"/>
  <c r="FL28" i="5"/>
  <c r="FB28" i="5"/>
  <c r="EO28" i="5"/>
  <c r="EC28" i="5"/>
  <c r="DS28" i="5"/>
  <c r="DH28" i="5"/>
  <c r="CW28" i="5"/>
  <c r="CL28" i="5"/>
  <c r="CA28" i="5"/>
  <c r="BP28" i="5"/>
  <c r="BC28" i="5"/>
  <c r="V28" i="5"/>
  <c r="HC27" i="5"/>
  <c r="GR27" i="5"/>
  <c r="GG27" i="5"/>
  <c r="FW27" i="5"/>
  <c r="FL27" i="5"/>
  <c r="FB27" i="5"/>
  <c r="EO27" i="5"/>
  <c r="EC27" i="5"/>
  <c r="DS27" i="5"/>
  <c r="DH27" i="5"/>
  <c r="CW27" i="5"/>
  <c r="CL27" i="5"/>
  <c r="CA27" i="5"/>
  <c r="BP27" i="5"/>
  <c r="BC27" i="5"/>
  <c r="V27" i="5"/>
  <c r="LH26" i="5"/>
  <c r="LA26" i="5"/>
  <c r="HC26" i="5"/>
  <c r="GR26" i="5"/>
  <c r="GG26" i="5"/>
  <c r="FL26" i="5"/>
  <c r="FB26" i="5"/>
  <c r="EO26" i="5"/>
  <c r="EC26" i="5"/>
  <c r="DS26" i="5"/>
  <c r="DH26" i="5"/>
  <c r="CW26" i="5"/>
  <c r="CL26" i="5"/>
  <c r="CA26" i="5"/>
  <c r="BP26" i="5"/>
  <c r="BC26" i="5"/>
  <c r="V26" i="5"/>
  <c r="LH25" i="5"/>
  <c r="LA25" i="5"/>
  <c r="HC25" i="5"/>
  <c r="GR25" i="5"/>
  <c r="GG25" i="5"/>
  <c r="FL25" i="5"/>
  <c r="FB25" i="5"/>
  <c r="EO25" i="5"/>
  <c r="EC25" i="5"/>
  <c r="DS25" i="5"/>
  <c r="DH25" i="5"/>
  <c r="CW25" i="5"/>
  <c r="CL25" i="5"/>
  <c r="CA25" i="5"/>
  <c r="BP25" i="5"/>
  <c r="BC25" i="5"/>
  <c r="AC25" i="5"/>
  <c r="V25" i="5"/>
  <c r="LH24" i="5"/>
  <c r="LA24" i="5"/>
  <c r="HC24" i="5"/>
  <c r="GR24" i="5"/>
  <c r="GG24" i="5"/>
  <c r="FW24" i="5"/>
  <c r="FL24" i="5"/>
  <c r="FB24" i="5"/>
  <c r="EO24" i="5"/>
  <c r="EC24" i="5"/>
  <c r="DS24" i="5"/>
  <c r="DH24" i="5"/>
  <c r="CW24" i="5"/>
  <c r="CL24" i="5"/>
  <c r="CA24" i="5"/>
  <c r="BP24" i="5"/>
  <c r="BC24" i="5"/>
  <c r="V24" i="5"/>
  <c r="LH23" i="5"/>
  <c r="LA23" i="5"/>
  <c r="HC23" i="5"/>
  <c r="GR23" i="5"/>
  <c r="GG23" i="5"/>
  <c r="FW23" i="5"/>
  <c r="FL23" i="5"/>
  <c r="FB23" i="5"/>
  <c r="EO23" i="5"/>
  <c r="EC23" i="5"/>
  <c r="DS23" i="5"/>
  <c r="DH23" i="5"/>
  <c r="CW23" i="5"/>
  <c r="CL23" i="5"/>
  <c r="CA23" i="5"/>
  <c r="BP23" i="5"/>
  <c r="BC23" i="5"/>
  <c r="AG23" i="5"/>
  <c r="V23" i="5"/>
  <c r="LH22" i="5"/>
  <c r="LA22" i="5"/>
  <c r="HC22" i="5"/>
  <c r="GR22" i="5"/>
  <c r="GG22" i="5"/>
  <c r="FW22" i="5"/>
  <c r="FL22" i="5"/>
  <c r="FB22" i="5"/>
  <c r="EO22" i="5"/>
  <c r="EC22" i="5"/>
  <c r="DS22" i="5"/>
  <c r="DH22" i="5"/>
  <c r="CW22" i="5"/>
  <c r="CL22" i="5"/>
  <c r="CA22" i="5"/>
  <c r="BP22" i="5"/>
  <c r="BC22" i="5"/>
  <c r="AG22" i="5"/>
  <c r="V22" i="5"/>
  <c r="LH21" i="5"/>
  <c r="LA21" i="5"/>
  <c r="JP21" i="5"/>
  <c r="HC21" i="5"/>
  <c r="GR21" i="5"/>
  <c r="GG21" i="5"/>
  <c r="FW21" i="5"/>
  <c r="FL21" i="5"/>
  <c r="FB21" i="5"/>
  <c r="EO21" i="5"/>
  <c r="EC21" i="5"/>
  <c r="DS21" i="5"/>
  <c r="DH21" i="5"/>
  <c r="DC21" i="5"/>
  <c r="CW21" i="5"/>
  <c r="CL21" i="5"/>
  <c r="CA21" i="5"/>
  <c r="BP21" i="5"/>
  <c r="BC21" i="5"/>
  <c r="AG21" i="5"/>
  <c r="V21" i="5"/>
  <c r="LH20" i="5"/>
  <c r="LA20" i="5"/>
  <c r="KE20" i="5"/>
  <c r="JW20" i="5"/>
  <c r="JW21" i="5" s="1"/>
  <c r="JP20" i="5"/>
  <c r="HC20" i="5"/>
  <c r="GR20" i="5"/>
  <c r="GG20" i="5"/>
  <c r="FW20" i="5"/>
  <c r="FL20" i="5"/>
  <c r="FB20" i="5"/>
  <c r="EO20" i="5"/>
  <c r="EC20" i="5"/>
  <c r="DS20" i="5"/>
  <c r="DH20" i="5"/>
  <c r="DC20" i="5"/>
  <c r="CW20" i="5"/>
  <c r="CL20" i="5"/>
  <c r="CA20" i="5"/>
  <c r="BP20" i="5"/>
  <c r="BC20" i="5"/>
  <c r="AG20" i="5"/>
  <c r="V20" i="5"/>
  <c r="LH19" i="5"/>
  <c r="LA19" i="5"/>
  <c r="JP19" i="5"/>
  <c r="HC19" i="5"/>
  <c r="GR19" i="5"/>
  <c r="GG19" i="5"/>
  <c r="FW19" i="5"/>
  <c r="FL19" i="5"/>
  <c r="FB19" i="5"/>
  <c r="EO19" i="5"/>
  <c r="EG19" i="5"/>
  <c r="EG20" i="5" s="1"/>
  <c r="EG21" i="5" s="1"/>
  <c r="EG22" i="5" s="1"/>
  <c r="EG23" i="5" s="1"/>
  <c r="EG24" i="5" s="1"/>
  <c r="EC19" i="5"/>
  <c r="DS19" i="5"/>
  <c r="DH19" i="5"/>
  <c r="CL19" i="5"/>
  <c r="CA19" i="5"/>
  <c r="BP19" i="5"/>
  <c r="BC19" i="5"/>
  <c r="AG19" i="5"/>
  <c r="V19" i="5"/>
  <c r="LH18" i="5"/>
  <c r="LA18" i="5"/>
  <c r="JP18" i="5"/>
  <c r="HC18" i="5"/>
  <c r="GR18" i="5"/>
  <c r="GG18" i="5"/>
  <c r="FW18" i="5"/>
  <c r="FL18" i="5"/>
  <c r="FB18" i="5"/>
  <c r="EO18" i="5"/>
  <c r="EC18" i="5"/>
  <c r="DS18" i="5"/>
  <c r="DH18" i="5"/>
  <c r="CL18" i="5"/>
  <c r="CA18" i="5"/>
  <c r="BP18" i="5"/>
  <c r="BC18" i="5"/>
  <c r="AG18" i="5"/>
  <c r="V18" i="5"/>
  <c r="LH17" i="5"/>
  <c r="LA17" i="5"/>
  <c r="JP17" i="5"/>
  <c r="HC17" i="5"/>
  <c r="GR17" i="5"/>
  <c r="GG17" i="5"/>
  <c r="FW17" i="5"/>
  <c r="FL17" i="5"/>
  <c r="FB17" i="5"/>
  <c r="EO17" i="5"/>
  <c r="EC17" i="5"/>
  <c r="EA17" i="5"/>
  <c r="DS17" i="5"/>
  <c r="DH17" i="5"/>
  <c r="CL17" i="5"/>
  <c r="CA17" i="5"/>
  <c r="BP17" i="5"/>
  <c r="BC17" i="5"/>
  <c r="AG17" i="5"/>
  <c r="V17" i="5"/>
  <c r="LH16" i="5"/>
  <c r="LA16" i="5"/>
  <c r="JP16" i="5"/>
  <c r="HC16" i="5"/>
  <c r="GR16" i="5"/>
  <c r="GG16" i="5"/>
  <c r="FW16" i="5"/>
  <c r="FL16" i="5"/>
  <c r="FB16" i="5"/>
  <c r="EO16" i="5"/>
  <c r="EC16" i="5"/>
  <c r="DS16" i="5"/>
  <c r="CL16" i="5"/>
  <c r="CA16" i="5"/>
  <c r="BP16" i="5"/>
  <c r="BC16" i="5"/>
  <c r="AG16" i="5"/>
  <c r="V16" i="5"/>
  <c r="LH15" i="5"/>
  <c r="LA15" i="5"/>
  <c r="JP15" i="5"/>
  <c r="JF15" i="5"/>
  <c r="JF16" i="5" s="1"/>
  <c r="HM15" i="5"/>
  <c r="HC15" i="5"/>
  <c r="GR15" i="5"/>
  <c r="GG15" i="5"/>
  <c r="FW15" i="5"/>
  <c r="FL15" i="5"/>
  <c r="FB15" i="5"/>
  <c r="EO15" i="5"/>
  <c r="EG15" i="5"/>
  <c r="EG16" i="5" s="1"/>
  <c r="EG17" i="5" s="1"/>
  <c r="EG18" i="5" s="1"/>
  <c r="EF15" i="5"/>
  <c r="EF16" i="5" s="1"/>
  <c r="EF17" i="5" s="1"/>
  <c r="EF18" i="5" s="1"/>
  <c r="EC15" i="5"/>
  <c r="DS15" i="5"/>
  <c r="DH15" i="5"/>
  <c r="CL15" i="5"/>
  <c r="CA15" i="5"/>
  <c r="BP15" i="5"/>
  <c r="BC15" i="5"/>
  <c r="AN15" i="5"/>
  <c r="AG15" i="5"/>
  <c r="V15" i="5"/>
  <c r="LH14" i="5"/>
  <c r="LA14" i="5"/>
  <c r="IX14" i="5"/>
  <c r="IX15" i="5" s="1"/>
  <c r="IX16" i="5" s="1"/>
  <c r="IX17" i="5" s="1"/>
  <c r="HM14" i="5"/>
  <c r="HF14" i="5"/>
  <c r="HE14" i="5"/>
  <c r="HC14" i="5"/>
  <c r="GU14" i="5"/>
  <c r="GT14" i="5"/>
  <c r="GR14" i="5"/>
  <c r="GG14" i="5"/>
  <c r="FW14" i="5"/>
  <c r="FL14" i="5"/>
  <c r="FB14" i="5"/>
  <c r="EO14" i="5"/>
  <c r="EG14" i="5"/>
  <c r="EF14" i="5"/>
  <c r="EC14" i="5"/>
  <c r="DS14" i="5"/>
  <c r="CL14" i="5"/>
  <c r="CA14" i="5"/>
  <c r="BP14" i="5"/>
  <c r="BC14" i="5"/>
  <c r="AG14" i="5"/>
  <c r="V14" i="5"/>
  <c r="LX13" i="5"/>
  <c r="LH13" i="5"/>
  <c r="LA13" i="5"/>
  <c r="HM13" i="5"/>
  <c r="HC13" i="5"/>
  <c r="GR13" i="5"/>
  <c r="GG13" i="5"/>
  <c r="FW13" i="5"/>
  <c r="FL13" i="5"/>
  <c r="FB13" i="5"/>
  <c r="EO13" i="5"/>
  <c r="EE13" i="5"/>
  <c r="EE14" i="5" s="1"/>
  <c r="EE15" i="5" s="1"/>
  <c r="EE16" i="5" s="1"/>
  <c r="EE17" i="5" s="1"/>
  <c r="EE18" i="5" s="1"/>
  <c r="EE19" i="5" s="1"/>
  <c r="EE20" i="5" s="1"/>
  <c r="EC13" i="5"/>
  <c r="DX13" i="5"/>
  <c r="DX14" i="5" s="1"/>
  <c r="DX15" i="5" s="1"/>
  <c r="DX16" i="5" s="1"/>
  <c r="DX17" i="5" s="1"/>
  <c r="DX18" i="5" s="1"/>
  <c r="DX19" i="5" s="1"/>
  <c r="DX20" i="5" s="1"/>
  <c r="DX21" i="5" s="1"/>
  <c r="DX22" i="5" s="1"/>
  <c r="DX23" i="5" s="1"/>
  <c r="DX24" i="5" s="1"/>
  <c r="DS13" i="5"/>
  <c r="DH13" i="5"/>
  <c r="CL13" i="5"/>
  <c r="CA13" i="5"/>
  <c r="BP13" i="5"/>
  <c r="BC13" i="5"/>
  <c r="AG13" i="5"/>
  <c r="V13" i="5"/>
  <c r="LX12" i="5"/>
  <c r="LH12" i="5"/>
  <c r="LA12" i="5"/>
  <c r="HT12" i="5"/>
  <c r="HT13" i="5" s="1"/>
  <c r="HT14" i="5" s="1"/>
  <c r="HT15" i="5" s="1"/>
  <c r="HT16" i="5" s="1"/>
  <c r="HT17" i="5" s="1"/>
  <c r="HM12" i="5"/>
  <c r="HC12" i="5"/>
  <c r="GU12" i="5"/>
  <c r="GT12" i="5"/>
  <c r="HE9" i="5" s="1"/>
  <c r="HE10" i="5" s="1"/>
  <c r="GR12" i="5"/>
  <c r="GG12" i="5"/>
  <c r="GB12" i="5"/>
  <c r="GB13" i="5" s="1"/>
  <c r="GB14" i="5" s="1"/>
  <c r="FW12" i="5"/>
  <c r="FL12" i="5"/>
  <c r="FB12" i="5"/>
  <c r="EO12" i="5"/>
  <c r="EC12" i="5"/>
  <c r="DS12" i="5"/>
  <c r="DH12" i="5"/>
  <c r="CL12" i="5"/>
  <c r="CA12" i="5"/>
  <c r="BP12" i="5"/>
  <c r="BC12" i="5"/>
  <c r="AG12" i="5"/>
  <c r="V12" i="5"/>
  <c r="LX11" i="5"/>
  <c r="LH11" i="5"/>
  <c r="LA11" i="5"/>
  <c r="KT11" i="5"/>
  <c r="HM11" i="5"/>
  <c r="HE11" i="5"/>
  <c r="HE12" i="5" s="1"/>
  <c r="HC11" i="5"/>
  <c r="GR11" i="5"/>
  <c r="GJ11" i="5"/>
  <c r="GJ12" i="5" s="1"/>
  <c r="GG11" i="5"/>
  <c r="FW11" i="5"/>
  <c r="FL11" i="5"/>
  <c r="FB11" i="5"/>
  <c r="EO11" i="5"/>
  <c r="EC11" i="5"/>
  <c r="DS11" i="5"/>
  <c r="DH11" i="5"/>
  <c r="CL11" i="5"/>
  <c r="CA11" i="5"/>
  <c r="BP11" i="5"/>
  <c r="BC11" i="5"/>
  <c r="AG11" i="5"/>
  <c r="LX10" i="5"/>
  <c r="LH10" i="5"/>
  <c r="LA10" i="5"/>
  <c r="KT10" i="5"/>
  <c r="HM10" i="5"/>
  <c r="HC10" i="5"/>
  <c r="GR10" i="5"/>
  <c r="GG10" i="5"/>
  <c r="FW10" i="5"/>
  <c r="FL10" i="5"/>
  <c r="FB10" i="5"/>
  <c r="EO10" i="5"/>
  <c r="EC10" i="5"/>
  <c r="DS10" i="5"/>
  <c r="DH10" i="5"/>
  <c r="CL10" i="5"/>
  <c r="CA10" i="5"/>
  <c r="BP10" i="5"/>
  <c r="BC10" i="5"/>
  <c r="AR10" i="5"/>
  <c r="AG10" i="5"/>
  <c r="V10" i="5"/>
  <c r="LX9" i="5"/>
  <c r="LH9" i="5"/>
  <c r="LA9" i="5"/>
  <c r="KT9" i="5"/>
  <c r="HM9" i="5"/>
  <c r="HF9" i="5"/>
  <c r="HF10" i="5" s="1"/>
  <c r="HF11" i="5" s="1"/>
  <c r="HF12" i="5" s="1"/>
  <c r="HC9" i="5"/>
  <c r="GR9" i="5"/>
  <c r="GG9" i="5"/>
  <c r="FW9" i="5"/>
  <c r="FL9" i="5"/>
  <c r="FB9" i="5"/>
  <c r="EO9" i="5"/>
  <c r="EC9" i="5"/>
  <c r="DS9" i="5"/>
  <c r="DH9" i="5"/>
  <c r="CL9" i="5"/>
  <c r="CA9" i="5"/>
  <c r="BP9" i="5"/>
  <c r="BC9" i="5"/>
  <c r="AR9" i="5"/>
  <c r="AG9" i="5"/>
  <c r="V9" i="5"/>
  <c r="LX8" i="5"/>
  <c r="LH8" i="5"/>
  <c r="LA8" i="5"/>
  <c r="KT8" i="5"/>
  <c r="KB8" i="5"/>
  <c r="II8" i="5"/>
  <c r="HM8" i="5"/>
  <c r="HC8" i="5"/>
  <c r="GR8" i="5"/>
  <c r="GG8" i="5"/>
  <c r="FW8" i="5"/>
  <c r="FL8" i="5"/>
  <c r="FB8" i="5"/>
  <c r="EO8" i="5"/>
  <c r="EC8" i="5"/>
  <c r="DS8" i="5"/>
  <c r="DH8" i="5"/>
  <c r="CL8" i="5"/>
  <c r="CA8" i="5"/>
  <c r="BP8" i="5"/>
  <c r="BC8" i="5"/>
  <c r="AR8" i="5"/>
  <c r="AG8" i="5"/>
  <c r="LX7" i="5"/>
  <c r="LH7" i="5"/>
  <c r="LA7" i="5"/>
  <c r="KT7" i="5"/>
  <c r="KB7" i="5"/>
  <c r="II7" i="5"/>
  <c r="HM7" i="5"/>
  <c r="HC7" i="5"/>
  <c r="GR7" i="5"/>
  <c r="GG7" i="5"/>
  <c r="FW7" i="5"/>
  <c r="FL7" i="5"/>
  <c r="FB7" i="5"/>
  <c r="EO7" i="5"/>
  <c r="EC7" i="5"/>
  <c r="DS7" i="5"/>
  <c r="DH7" i="5"/>
  <c r="CL7" i="5"/>
  <c r="CA7" i="5"/>
  <c r="BP7" i="5"/>
  <c r="BC7" i="5"/>
  <c r="AR7" i="5"/>
  <c r="AG7" i="5"/>
  <c r="LX6" i="5"/>
  <c r="LH6" i="5"/>
  <c r="LA6" i="5"/>
  <c r="KT6" i="5"/>
  <c r="KB6" i="5"/>
  <c r="II6" i="5"/>
  <c r="HM6" i="5"/>
  <c r="HC6" i="5"/>
  <c r="GR6" i="5"/>
  <c r="GG6" i="5"/>
  <c r="FW6" i="5"/>
  <c r="FL6" i="5"/>
  <c r="FB6" i="5"/>
  <c r="EO6" i="5"/>
  <c r="EC6" i="5"/>
  <c r="DS6" i="5"/>
  <c r="DH6" i="5"/>
  <c r="CL6" i="5"/>
  <c r="CA6" i="5"/>
  <c r="BP6" i="5"/>
  <c r="BC6" i="5"/>
  <c r="AR6" i="5"/>
  <c r="AG6" i="5"/>
  <c r="LX5" i="5"/>
  <c r="LH5" i="5"/>
  <c r="LA5" i="5"/>
  <c r="KT5" i="5"/>
  <c r="KB5" i="5"/>
  <c r="IT5" i="5"/>
  <c r="II5" i="5"/>
  <c r="HM5" i="5"/>
  <c r="GG5" i="5"/>
  <c r="FW5" i="5"/>
  <c r="FL5" i="5"/>
  <c r="FB5" i="5"/>
  <c r="EO5" i="5"/>
  <c r="EC5" i="5"/>
  <c r="DS5" i="5"/>
  <c r="DH5" i="5"/>
  <c r="CL5" i="5"/>
  <c r="CA5" i="5"/>
  <c r="BP5" i="5"/>
  <c r="BC5" i="5"/>
  <c r="GG4" i="5"/>
  <c r="V38" i="3"/>
  <c r="V40" i="3" s="1"/>
  <c r="AA35" i="3"/>
  <c r="AB35" i="3" s="1"/>
  <c r="X35" i="3"/>
  <c r="Z35" i="3" s="1"/>
  <c r="AA34" i="3"/>
  <c r="AB34" i="3" s="1"/>
  <c r="X34" i="3"/>
  <c r="Z34" i="3" s="1"/>
  <c r="AA33" i="3"/>
  <c r="AB33" i="3" s="1"/>
  <c r="X33" i="3"/>
  <c r="Z33" i="3" s="1"/>
  <c r="AA32" i="3"/>
  <c r="AB32" i="3" s="1"/>
  <c r="X32" i="3"/>
  <c r="Z32" i="3" s="1"/>
  <c r="AA31" i="3"/>
  <c r="AB31" i="3" s="1"/>
  <c r="X31" i="3"/>
  <c r="Z31" i="3" s="1"/>
  <c r="AA30" i="3"/>
  <c r="AB30" i="3" s="1"/>
  <c r="X30" i="3"/>
  <c r="Z30" i="3" s="1"/>
  <c r="AA29" i="3"/>
  <c r="AB29" i="3" s="1"/>
  <c r="X29" i="3"/>
  <c r="Z29" i="3" s="1"/>
  <c r="AA28" i="3"/>
  <c r="AB28" i="3" s="1"/>
  <c r="X28" i="3"/>
  <c r="Z28" i="3" s="1"/>
  <c r="AA27" i="3"/>
  <c r="AB27" i="3" s="1"/>
  <c r="X27" i="3"/>
  <c r="Z27" i="3" s="1"/>
  <c r="AA26" i="3"/>
  <c r="AB26" i="3" s="1"/>
  <c r="X26" i="3"/>
  <c r="Z26" i="3" s="1"/>
  <c r="AA25" i="3"/>
  <c r="AB25" i="3" s="1"/>
  <c r="X25" i="3"/>
  <c r="Z25" i="3" s="1"/>
  <c r="AA24" i="3"/>
  <c r="AB24" i="3" s="1"/>
  <c r="X24" i="3"/>
  <c r="Z24" i="3" s="1"/>
  <c r="AA23" i="3"/>
  <c r="AB23" i="3" s="1"/>
  <c r="X23" i="3"/>
  <c r="Z23" i="3" s="1"/>
  <c r="AA22" i="3"/>
  <c r="AB22" i="3" s="1"/>
  <c r="X22" i="3"/>
  <c r="Z22" i="3" s="1"/>
  <c r="AA21" i="3"/>
  <c r="AB21" i="3" s="1"/>
  <c r="X21" i="3"/>
  <c r="Z21" i="3" s="1"/>
  <c r="AA20" i="3"/>
  <c r="AB20" i="3" s="1"/>
  <c r="X20" i="3"/>
  <c r="Z20" i="3" s="1"/>
  <c r="AA19" i="3"/>
  <c r="AB19" i="3" s="1"/>
  <c r="X19" i="3"/>
  <c r="Z19" i="3" s="1"/>
  <c r="AA18" i="3"/>
  <c r="AB18" i="3" s="1"/>
  <c r="X18" i="3"/>
  <c r="Z18" i="3" s="1"/>
  <c r="AA17" i="3"/>
  <c r="AB17" i="3" s="1"/>
  <c r="X17" i="3"/>
  <c r="Z17" i="3" s="1"/>
  <c r="AA16" i="3"/>
  <c r="AB16" i="3" s="1"/>
  <c r="X16" i="3"/>
  <c r="Z16" i="3" s="1"/>
  <c r="AA15" i="3"/>
  <c r="AB15" i="3" s="1"/>
  <c r="X15" i="3"/>
  <c r="Z15" i="3" s="1"/>
  <c r="AA14" i="3"/>
  <c r="AB14" i="3" s="1"/>
  <c r="X14" i="3"/>
  <c r="Z14" i="3" s="1"/>
  <c r="AA13" i="3"/>
  <c r="AB13" i="3" s="1"/>
  <c r="X13" i="3"/>
  <c r="Z13" i="3" s="1"/>
  <c r="AA12" i="3"/>
  <c r="AB12" i="3" s="1"/>
  <c r="X12" i="3"/>
  <c r="Z12" i="3" s="1"/>
  <c r="AA11" i="3"/>
  <c r="AB11" i="3" s="1"/>
  <c r="X11" i="3"/>
  <c r="Z11" i="3" s="1"/>
  <c r="AA10" i="3"/>
  <c r="X10" i="3"/>
  <c r="Z10" i="3" s="1"/>
  <c r="AB10" i="3" s="1"/>
  <c r="I239" i="3"/>
  <c r="H239" i="3"/>
  <c r="G234" i="3"/>
  <c r="G235" i="3" s="1"/>
  <c r="F234" i="3"/>
  <c r="I233" i="3"/>
  <c r="H233" i="3"/>
  <c r="I232" i="3"/>
  <c r="H232" i="3"/>
  <c r="I231" i="3"/>
  <c r="H231" i="3"/>
  <c r="I230" i="3"/>
  <c r="H230" i="3"/>
  <c r="I229" i="3"/>
  <c r="H229" i="3"/>
  <c r="G224" i="3"/>
  <c r="G226" i="3" s="1"/>
  <c r="F224" i="3"/>
  <c r="I223" i="3"/>
  <c r="H223" i="3"/>
  <c r="I222" i="3"/>
  <c r="H222" i="3"/>
  <c r="I221" i="3"/>
  <c r="H221" i="3"/>
  <c r="I220" i="3"/>
  <c r="H220" i="3"/>
  <c r="G214" i="3"/>
  <c r="G215" i="3" s="1"/>
  <c r="F214" i="3"/>
  <c r="I212" i="3"/>
  <c r="H212" i="3"/>
  <c r="I211" i="3"/>
  <c r="H211" i="3"/>
  <c r="I210" i="3"/>
  <c r="H210" i="3"/>
  <c r="C204" i="3"/>
  <c r="G202" i="3"/>
  <c r="G203" i="3" s="1"/>
  <c r="F202" i="3"/>
  <c r="I201" i="3"/>
  <c r="H201" i="3"/>
  <c r="I200" i="3"/>
  <c r="H200" i="3"/>
  <c r="I199" i="3"/>
  <c r="H199" i="3"/>
  <c r="I198" i="3"/>
  <c r="H198" i="3"/>
  <c r="G193" i="3"/>
  <c r="G194" i="3" s="1"/>
  <c r="F193" i="3"/>
  <c r="I192" i="3"/>
  <c r="H192" i="3"/>
  <c r="I191" i="3"/>
  <c r="H191" i="3"/>
  <c r="I190" i="3"/>
  <c r="H190" i="3"/>
  <c r="I189" i="3"/>
  <c r="H189" i="3"/>
  <c r="I188" i="3"/>
  <c r="H188" i="3"/>
  <c r="I181" i="3"/>
  <c r="I180" i="3"/>
  <c r="I179" i="3"/>
  <c r="G182" i="3"/>
  <c r="G183" i="3" s="1"/>
  <c r="F182" i="3"/>
  <c r="H181" i="3"/>
  <c r="H180" i="3"/>
  <c r="H179" i="3"/>
  <c r="G173" i="3"/>
  <c r="G174" i="3" s="1"/>
  <c r="F173" i="3"/>
  <c r="I172" i="3"/>
  <c r="H172" i="3"/>
  <c r="I171" i="3"/>
  <c r="H171" i="3"/>
  <c r="I170" i="3"/>
  <c r="H170" i="3"/>
  <c r="I169" i="3"/>
  <c r="H169" i="3"/>
  <c r="G164" i="3"/>
  <c r="G165" i="3" s="1"/>
  <c r="I163" i="3"/>
  <c r="H163" i="3"/>
  <c r="I162" i="3"/>
  <c r="H162" i="3"/>
  <c r="I161" i="3"/>
  <c r="H161" i="3"/>
  <c r="I160" i="3"/>
  <c r="H160" i="3"/>
  <c r="I159" i="3"/>
  <c r="H159" i="3"/>
  <c r="G153" i="3"/>
  <c r="G154" i="3" s="1"/>
  <c r="I152" i="3"/>
  <c r="H152" i="3"/>
  <c r="I151" i="3"/>
  <c r="H151" i="3"/>
  <c r="G147" i="3"/>
  <c r="G148" i="3" s="1"/>
  <c r="F147" i="3"/>
  <c r="I146" i="3"/>
  <c r="H146" i="3"/>
  <c r="I145" i="3"/>
  <c r="H145" i="3"/>
  <c r="I144" i="3"/>
  <c r="I143" i="3"/>
  <c r="H143" i="3"/>
  <c r="I142" i="3"/>
  <c r="H142" i="3"/>
  <c r="G137" i="3"/>
  <c r="G138" i="3" s="1"/>
  <c r="F137" i="3"/>
  <c r="I136" i="3"/>
  <c r="H136" i="3"/>
  <c r="I135" i="3"/>
  <c r="H135" i="3"/>
  <c r="I134" i="3"/>
  <c r="H134" i="3"/>
  <c r="I133" i="3"/>
  <c r="H133" i="3"/>
  <c r="I132" i="3"/>
  <c r="H132" i="3"/>
  <c r="G127" i="3"/>
  <c r="G128" i="3" s="1"/>
  <c r="F127" i="3"/>
  <c r="I126" i="3"/>
  <c r="H126" i="3"/>
  <c r="I125" i="3"/>
  <c r="H125" i="3"/>
  <c r="I124" i="3"/>
  <c r="H124" i="3"/>
  <c r="I123" i="3"/>
  <c r="H123" i="3"/>
  <c r="G118" i="3"/>
  <c r="G119" i="3" s="1"/>
  <c r="F118" i="3"/>
  <c r="I116" i="3"/>
  <c r="H116" i="3"/>
  <c r="I115" i="3"/>
  <c r="H115" i="3"/>
  <c r="I114" i="3"/>
  <c r="I113" i="3"/>
  <c r="H113" i="3"/>
  <c r="C107" i="3"/>
  <c r="G105" i="3"/>
  <c r="G106" i="3" s="1"/>
  <c r="F105" i="3"/>
  <c r="I104" i="3"/>
  <c r="H104" i="3"/>
  <c r="I103" i="3"/>
  <c r="H103" i="3"/>
  <c r="I102" i="3"/>
  <c r="H102" i="3"/>
  <c r="I101" i="3"/>
  <c r="H101" i="3"/>
  <c r="I100" i="3"/>
  <c r="H100" i="3"/>
  <c r="G95" i="3"/>
  <c r="G96" i="3" s="1"/>
  <c r="F95" i="3"/>
  <c r="I94" i="3"/>
  <c r="H94" i="3"/>
  <c r="I93" i="3"/>
  <c r="H93" i="3"/>
  <c r="I92" i="3"/>
  <c r="H92" i="3"/>
  <c r="I91" i="3"/>
  <c r="H91" i="3"/>
  <c r="I90" i="3"/>
  <c r="H90" i="3"/>
  <c r="I89" i="3"/>
  <c r="H89" i="3"/>
  <c r="I80" i="3"/>
  <c r="I79" i="3"/>
  <c r="G84" i="3"/>
  <c r="G85" i="3" s="1"/>
  <c r="F84" i="3"/>
  <c r="I83" i="3"/>
  <c r="H83" i="3"/>
  <c r="I82" i="3"/>
  <c r="H82" i="3"/>
  <c r="I81" i="3"/>
  <c r="H81" i="3"/>
  <c r="H80" i="3"/>
  <c r="H79" i="3"/>
  <c r="C73" i="3"/>
  <c r="G71" i="3"/>
  <c r="G72" i="3" s="1"/>
  <c r="F71" i="3"/>
  <c r="I70" i="3"/>
  <c r="H70" i="3"/>
  <c r="I69" i="3"/>
  <c r="H69" i="3"/>
  <c r="I68" i="3"/>
  <c r="H68" i="3"/>
  <c r="I67" i="3"/>
  <c r="H67" i="3"/>
  <c r="I66" i="3"/>
  <c r="H66" i="3"/>
  <c r="G60" i="3"/>
  <c r="G61" i="3" s="1"/>
  <c r="F60" i="3"/>
  <c r="I59" i="3"/>
  <c r="H59" i="3"/>
  <c r="I58" i="3"/>
  <c r="H58" i="3"/>
  <c r="I57" i="3"/>
  <c r="H57" i="3"/>
  <c r="I56" i="3"/>
  <c r="H56" i="3"/>
  <c r="I55" i="3"/>
  <c r="H55" i="3"/>
  <c r="G49" i="3"/>
  <c r="G50" i="3" s="1"/>
  <c r="F49" i="3"/>
  <c r="I48" i="3"/>
  <c r="H48" i="3"/>
  <c r="I47" i="3"/>
  <c r="H47" i="3"/>
  <c r="I46" i="3"/>
  <c r="H46" i="3"/>
  <c r="I45" i="3"/>
  <c r="H45" i="3"/>
  <c r="C38" i="3"/>
  <c r="G36" i="3"/>
  <c r="F36" i="3"/>
  <c r="I35" i="3"/>
  <c r="I34" i="3"/>
  <c r="H34" i="3"/>
  <c r="I33" i="3"/>
  <c r="H33" i="3"/>
  <c r="I32" i="3"/>
  <c r="H32" i="3"/>
  <c r="G27" i="3"/>
  <c r="G28" i="3" s="1"/>
  <c r="F27" i="3"/>
  <c r="I26" i="3"/>
  <c r="H26" i="3"/>
  <c r="I25" i="3"/>
  <c r="H25" i="3"/>
  <c r="I24" i="3"/>
  <c r="H24" i="3"/>
  <c r="I23" i="3"/>
  <c r="H23" i="3"/>
  <c r="I22" i="3"/>
  <c r="H22" i="3"/>
  <c r="C16" i="3"/>
  <c r="G14" i="3"/>
  <c r="F14" i="3"/>
  <c r="I13" i="3"/>
  <c r="H13" i="3"/>
  <c r="I12" i="3"/>
  <c r="H12" i="3"/>
  <c r="I11" i="3"/>
  <c r="H11" i="3"/>
  <c r="I10" i="3"/>
  <c r="H10" i="3"/>
  <c r="L81" i="2"/>
  <c r="P81" i="2" s="1"/>
  <c r="O68" i="2"/>
  <c r="L65" i="2"/>
  <c r="L50" i="2"/>
  <c r="O43" i="2"/>
  <c r="P82" i="2" s="1"/>
  <c r="L37" i="2"/>
  <c r="L17" i="2"/>
  <c r="O6" i="2"/>
  <c r="I186" i="1"/>
  <c r="P184" i="1"/>
  <c r="L184" i="1"/>
  <c r="W183" i="1"/>
  <c r="P183" i="1"/>
  <c r="L183" i="1"/>
  <c r="P182" i="1"/>
  <c r="L182" i="1"/>
  <c r="P181" i="1"/>
  <c r="L181" i="1"/>
  <c r="P180" i="1"/>
  <c r="L180" i="1"/>
  <c r="P179" i="1"/>
  <c r="L179" i="1"/>
  <c r="P178" i="1"/>
  <c r="L178" i="1"/>
  <c r="P177" i="1"/>
  <c r="L177" i="1"/>
  <c r="P176" i="1"/>
  <c r="L176" i="1"/>
  <c r="P175" i="1"/>
  <c r="L175" i="1"/>
  <c r="P174" i="1"/>
  <c r="L174" i="1"/>
  <c r="P173" i="1"/>
  <c r="L173" i="1"/>
  <c r="P172" i="1"/>
  <c r="L172" i="1"/>
  <c r="P171" i="1"/>
  <c r="N171" i="1"/>
  <c r="L171" i="1"/>
  <c r="P170" i="1"/>
  <c r="L170" i="1"/>
  <c r="P169" i="1"/>
  <c r="L169" i="1"/>
  <c r="W156" i="1"/>
  <c r="W157" i="1" s="1"/>
  <c r="W165" i="1" s="1"/>
  <c r="P151" i="1"/>
  <c r="W166" i="1" s="1"/>
  <c r="N151" i="1"/>
  <c r="L151" i="1"/>
  <c r="P150" i="1"/>
  <c r="L150" i="1"/>
  <c r="P149" i="1"/>
  <c r="L149" i="1"/>
  <c r="P148" i="1"/>
  <c r="L148" i="1"/>
  <c r="I147" i="1"/>
  <c r="P147" i="1" s="1"/>
  <c r="P146" i="1"/>
  <c r="L146" i="1"/>
  <c r="P145" i="1"/>
  <c r="L145" i="1"/>
  <c r="P144" i="1"/>
  <c r="L144" i="1"/>
  <c r="P143" i="1"/>
  <c r="L143" i="1"/>
  <c r="P142" i="1"/>
  <c r="L142" i="1"/>
  <c r="P141" i="1"/>
  <c r="L141" i="1"/>
  <c r="W140" i="1"/>
  <c r="P140" i="1"/>
  <c r="L140" i="1"/>
  <c r="P139" i="1"/>
  <c r="L139" i="1"/>
  <c r="P138" i="1"/>
  <c r="L138" i="1"/>
  <c r="P137" i="1"/>
  <c r="W145" i="1" s="1"/>
  <c r="N137" i="1"/>
  <c r="L137" i="1"/>
  <c r="W136" i="1"/>
  <c r="I126" i="1"/>
  <c r="P124" i="1"/>
  <c r="L124" i="1"/>
  <c r="P123" i="1"/>
  <c r="L123" i="1"/>
  <c r="P122" i="1"/>
  <c r="L122" i="1"/>
  <c r="P121" i="1"/>
  <c r="L121" i="1"/>
  <c r="W120" i="1"/>
  <c r="P120" i="1"/>
  <c r="L120" i="1"/>
  <c r="P119" i="1"/>
  <c r="L119" i="1"/>
  <c r="P118" i="1"/>
  <c r="L118" i="1"/>
  <c r="P117" i="1"/>
  <c r="L117" i="1"/>
  <c r="P116" i="1"/>
  <c r="L116" i="1"/>
  <c r="W104" i="1"/>
  <c r="I104" i="1"/>
  <c r="N108" i="1" s="1"/>
  <c r="M116" i="1" s="1"/>
  <c r="M117" i="1" s="1"/>
  <c r="M118" i="1" s="1"/>
  <c r="M119" i="1" s="1"/>
  <c r="M120" i="1" s="1"/>
  <c r="M121" i="1" s="1"/>
  <c r="M122" i="1" s="1"/>
  <c r="M123" i="1" s="1"/>
  <c r="M124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P102" i="1"/>
  <c r="L102" i="1"/>
  <c r="P101" i="1"/>
  <c r="L101" i="1"/>
  <c r="P100" i="1"/>
  <c r="L100" i="1"/>
  <c r="P99" i="1"/>
  <c r="R99" i="1" s="1"/>
  <c r="R100" i="1" s="1"/>
  <c r="R101" i="1" s="1"/>
  <c r="R102" i="1" s="1"/>
  <c r="M99" i="1"/>
  <c r="M100" i="1" s="1"/>
  <c r="M101" i="1" s="1"/>
  <c r="M102" i="1" s="1"/>
  <c r="L99" i="1"/>
  <c r="W96" i="1"/>
  <c r="W82" i="1"/>
  <c r="W83" i="1" s="1"/>
  <c r="W92" i="1" s="1"/>
  <c r="W93" i="1" s="1"/>
  <c r="W63" i="1"/>
  <c r="I63" i="1"/>
  <c r="P62" i="1"/>
  <c r="P61" i="1"/>
  <c r="P60" i="1"/>
  <c r="W59" i="1"/>
  <c r="W58" i="1"/>
  <c r="H56" i="1"/>
  <c r="W49" i="1"/>
  <c r="I43" i="1"/>
  <c r="P42" i="1"/>
  <c r="P41" i="1"/>
  <c r="P40" i="1"/>
  <c r="L36" i="1"/>
  <c r="I30" i="1"/>
  <c r="P28" i="1"/>
  <c r="W39" i="1" s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W16" i="1"/>
  <c r="O28" i="1" s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R9" i="1" s="1"/>
  <c r="W8" i="1"/>
  <c r="I638" i="5" l="1"/>
  <c r="I639" i="5" s="1"/>
  <c r="I640" i="5" s="1"/>
  <c r="I641" i="5" s="1"/>
  <c r="I642" i="5" s="1"/>
  <c r="I643" i="5" s="1"/>
  <c r="I635" i="5"/>
  <c r="I636" i="5" s="1"/>
  <c r="I637" i="5" s="1"/>
  <c r="DV63" i="5"/>
  <c r="DV64" i="5"/>
  <c r="DV65" i="5" s="1"/>
  <c r="DV66" i="5" s="1"/>
  <c r="DV67" i="5" s="1"/>
  <c r="DV68" i="5" s="1"/>
  <c r="DV69" i="5" s="1"/>
  <c r="DV70" i="5" s="1"/>
  <c r="DV71" i="5" s="1"/>
  <c r="DV72" i="5" s="1"/>
  <c r="DV73" i="5" s="1"/>
  <c r="DV74" i="5" s="1"/>
  <c r="DV75" i="5" s="1"/>
  <c r="DV76" i="5" s="1"/>
  <c r="DV77" i="5" s="1"/>
  <c r="D624" i="5"/>
  <c r="D625" i="5" s="1"/>
  <c r="D622" i="5"/>
  <c r="FE103" i="5"/>
  <c r="G15" i="3"/>
  <c r="G37" i="3"/>
  <c r="W141" i="1"/>
  <c r="W144" i="1" s="1"/>
  <c r="M147" i="1"/>
  <c r="M148" i="1" s="1"/>
  <c r="M149" i="1" s="1"/>
  <c r="M150" i="1" s="1"/>
  <c r="M151" i="1" s="1"/>
  <c r="H165" i="1" s="1"/>
  <c r="L165" i="1" s="1"/>
  <c r="I158" i="1"/>
  <c r="L95" i="1"/>
  <c r="L56" i="1"/>
  <c r="H112" i="1"/>
  <c r="L112" i="1" s="1"/>
  <c r="W167" i="1"/>
  <c r="R116" i="1"/>
  <c r="R117" i="1" s="1"/>
  <c r="R118" i="1" s="1"/>
  <c r="R119" i="1" s="1"/>
  <c r="R120" i="1" s="1"/>
  <c r="R121" i="1" s="1"/>
  <c r="R122" i="1" s="1"/>
  <c r="R123" i="1" s="1"/>
  <c r="R124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M169" i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W17" i="1"/>
  <c r="W38" i="1" s="1"/>
  <c r="W40" i="1" s="1"/>
  <c r="O137" i="1"/>
  <c r="H133" i="1"/>
  <c r="W97" i="1"/>
  <c r="W121" i="1"/>
  <c r="X104" i="1"/>
  <c r="W184" i="1"/>
  <c r="O171" i="1"/>
  <c r="O151" i="1"/>
  <c r="D629" i="5" l="1"/>
  <c r="D630" i="5" s="1"/>
  <c r="D626" i="5"/>
  <c r="L133" i="1"/>
  <c r="W50" i="1"/>
  <c r="W60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W64" i="1" l="1"/>
  <c r="M9" i="1" l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L5" i="1"/>
</calcChain>
</file>

<file path=xl/sharedStrings.xml><?xml version="1.0" encoding="utf-8"?>
<sst xmlns="http://schemas.openxmlformats.org/spreadsheetml/2006/main" count="5550" uniqueCount="790">
  <si>
    <t>CARGAS TALLER</t>
  </si>
  <si>
    <t>CARGAS NISSAN EXTERNAS</t>
  </si>
  <si>
    <t xml:space="preserve"> </t>
  </si>
  <si>
    <t>DIESEL INICIO JORNADA</t>
  </si>
  <si>
    <t>FIN JORNADA</t>
  </si>
  <si>
    <t>FOLIO TALLER 1</t>
  </si>
  <si>
    <t>FOLIO TALLER 2</t>
  </si>
  <si>
    <t>Hora</t>
  </si>
  <si>
    <t>Folio</t>
  </si>
  <si>
    <t>Responsable</t>
  </si>
  <si>
    <t>Unidad</t>
  </si>
  <si>
    <t>cantidad</t>
  </si>
  <si>
    <t>HRS/KM</t>
  </si>
  <si>
    <r>
      <t>CUENTA LT</t>
    </r>
    <r>
      <rPr>
        <b/>
        <sz val="16"/>
        <rFont val="Calibri"/>
        <family val="2"/>
      </rPr>
      <t xml:space="preserve"> I</t>
    </r>
  </si>
  <si>
    <r>
      <t xml:space="preserve">CUENTA LT </t>
    </r>
    <r>
      <rPr>
        <b/>
        <sz val="16"/>
        <rFont val="Calibri"/>
        <family val="2"/>
      </rPr>
      <t>F</t>
    </r>
  </si>
  <si>
    <t>DISPONIBLE LT</t>
  </si>
  <si>
    <t>AJUSTE 2%</t>
  </si>
  <si>
    <t>DISPONIBLE 2%</t>
  </si>
  <si>
    <t>MAX 1200</t>
  </si>
  <si>
    <t>Ramon</t>
  </si>
  <si>
    <t>CA29</t>
  </si>
  <si>
    <t>CUENTA LT US03</t>
  </si>
  <si>
    <t>SUMINISTRADO</t>
  </si>
  <si>
    <t>HORA</t>
  </si>
  <si>
    <t>FOLIO</t>
  </si>
  <si>
    <t xml:space="preserve">UNIDAD </t>
  </si>
  <si>
    <t>LITROS</t>
  </si>
  <si>
    <t>OBRA</t>
  </si>
  <si>
    <t>OPERADOR</t>
  </si>
  <si>
    <t>Mago</t>
  </si>
  <si>
    <t>NISSAN 03</t>
  </si>
  <si>
    <t>Paco</t>
  </si>
  <si>
    <t>CA21</t>
  </si>
  <si>
    <t>CA22</t>
  </si>
  <si>
    <t>Victor</t>
  </si>
  <si>
    <t>CA06</t>
  </si>
  <si>
    <t>CA18</t>
  </si>
  <si>
    <t>Roble</t>
  </si>
  <si>
    <t>CA32</t>
  </si>
  <si>
    <t>CA16</t>
  </si>
  <si>
    <t>CA33</t>
  </si>
  <si>
    <t>CA17</t>
  </si>
  <si>
    <t>Julio</t>
  </si>
  <si>
    <t>CA07</t>
  </si>
  <si>
    <t>CA12</t>
  </si>
  <si>
    <t>Antonio</t>
  </si>
  <si>
    <t>Rigo</t>
  </si>
  <si>
    <t>CA08</t>
  </si>
  <si>
    <t>CA30</t>
  </si>
  <si>
    <t>Suministrado</t>
  </si>
  <si>
    <t>Alberto</t>
  </si>
  <si>
    <t>CA31</t>
  </si>
  <si>
    <t>DISPONIBLE TEORICO</t>
  </si>
  <si>
    <t>CA15</t>
  </si>
  <si>
    <t>CA13</t>
  </si>
  <si>
    <t>CA26</t>
  </si>
  <si>
    <t>CA28</t>
  </si>
  <si>
    <t>CA27</t>
  </si>
  <si>
    <t>SUMINISTRADO SABADO</t>
  </si>
  <si>
    <t>10 LITROS +</t>
  </si>
  <si>
    <t>EX13</t>
  </si>
  <si>
    <t>Carlos</t>
  </si>
  <si>
    <t>SUMINISTRADO LUNES</t>
  </si>
  <si>
    <t>R02</t>
  </si>
  <si>
    <t>Montecarlo</t>
  </si>
  <si>
    <t>EX02</t>
  </si>
  <si>
    <t>Valle Real</t>
  </si>
  <si>
    <t>Gustavo</t>
  </si>
  <si>
    <t>EX03</t>
  </si>
  <si>
    <t>Javier</t>
  </si>
  <si>
    <t>M03</t>
  </si>
  <si>
    <t>Incasa</t>
  </si>
  <si>
    <t>CA20</t>
  </si>
  <si>
    <t>Tomas</t>
  </si>
  <si>
    <t>EX14</t>
  </si>
  <si>
    <t>Cordillera</t>
  </si>
  <si>
    <t>Humberto</t>
  </si>
  <si>
    <t>SUMINISTRADO MARTES</t>
  </si>
  <si>
    <t>CA02</t>
  </si>
  <si>
    <t>Jose Ines</t>
  </si>
  <si>
    <t>MANUEL</t>
  </si>
  <si>
    <t>CARLOS</t>
  </si>
  <si>
    <t>CA25</t>
  </si>
  <si>
    <t>Otoniel</t>
  </si>
  <si>
    <t>Benito</t>
  </si>
  <si>
    <t>Chuy</t>
  </si>
  <si>
    <t>EX01 35G</t>
  </si>
  <si>
    <t>Rodrigo</t>
  </si>
  <si>
    <t>SUMINISTRADO JUEVES</t>
  </si>
  <si>
    <t>R04</t>
  </si>
  <si>
    <t>Cosmopolis</t>
  </si>
  <si>
    <t>Yoshua</t>
  </si>
  <si>
    <t>Rolando</t>
  </si>
  <si>
    <t>MonteCarlo</t>
  </si>
  <si>
    <t>PLANTA AZUL</t>
  </si>
  <si>
    <t>CANALES</t>
  </si>
  <si>
    <t>SABADO 14  DE MARZO 2026</t>
  </si>
  <si>
    <t>CANALES F 11772</t>
  </si>
  <si>
    <t>FOLIO 11772</t>
  </si>
  <si>
    <t>Cesar</t>
  </si>
  <si>
    <t>MedinA</t>
  </si>
  <si>
    <t>Palmar 2</t>
  </si>
  <si>
    <t>Canchas</t>
  </si>
  <si>
    <t>CA19</t>
  </si>
  <si>
    <t xml:space="preserve">Carlos </t>
  </si>
  <si>
    <t>LUNES 16  DE MARZO 2026</t>
  </si>
  <si>
    <t>ex01 35g</t>
  </si>
  <si>
    <t>valle real</t>
  </si>
  <si>
    <t>rigo</t>
  </si>
  <si>
    <t>SIN DIESEL EN TALLER</t>
  </si>
  <si>
    <t>ex02</t>
  </si>
  <si>
    <t>gUSTAVO</t>
  </si>
  <si>
    <t>ex03</t>
  </si>
  <si>
    <t>javier</t>
  </si>
  <si>
    <t>RODILLO PATA GDE</t>
  </si>
  <si>
    <t>EX12 50D</t>
  </si>
  <si>
    <t>SANTA ISABEL</t>
  </si>
  <si>
    <t>Manuel</t>
  </si>
  <si>
    <t>DOMICILI</t>
  </si>
  <si>
    <t>MARTES 17 DE MARZO 2026</t>
  </si>
  <si>
    <t>Cordi</t>
  </si>
  <si>
    <t>Tobi</t>
  </si>
  <si>
    <t>CANALES F 11787</t>
  </si>
  <si>
    <t>FOLIO 11787</t>
  </si>
  <si>
    <t>Taller</t>
  </si>
  <si>
    <t>MALDONADO</t>
  </si>
  <si>
    <t>Victor m</t>
  </si>
  <si>
    <t>Cristo</t>
  </si>
  <si>
    <t>WINO</t>
  </si>
  <si>
    <t>Juan Olguin</t>
  </si>
  <si>
    <t>Medina</t>
  </si>
  <si>
    <t>BERNA</t>
  </si>
  <si>
    <t>Francisco</t>
  </si>
  <si>
    <t>MIERCOLES 18 DE MARZO 2026</t>
  </si>
  <si>
    <t xml:space="preserve">DIESEL </t>
  </si>
  <si>
    <t>RICARDO</t>
  </si>
  <si>
    <t>PRUEBA DE LAB NO DISPONIBLE</t>
  </si>
  <si>
    <t>DISPONIBLE EN TANQUE  ►</t>
  </si>
  <si>
    <t xml:space="preserve">CANALES </t>
  </si>
  <si>
    <t>Belmares</t>
  </si>
  <si>
    <t>OXXOGAS</t>
  </si>
  <si>
    <t>SUMINISTRADO MIERCOLES 1</t>
  </si>
  <si>
    <t>Juan Carlos</t>
  </si>
  <si>
    <t>PATA GRANDE</t>
  </si>
  <si>
    <t>Sta Isabel</t>
  </si>
  <si>
    <t>MINI02</t>
  </si>
  <si>
    <t>Plutarco</t>
  </si>
  <si>
    <t>JUEVES 19 DE MARZO 2026</t>
  </si>
  <si>
    <t>OXXO GAS</t>
  </si>
  <si>
    <t>TALLER</t>
  </si>
  <si>
    <t>RODILLO BOM</t>
  </si>
  <si>
    <t xml:space="preserve">OXXO </t>
  </si>
  <si>
    <t>Estrada</t>
  </si>
  <si>
    <t>Andres</t>
  </si>
  <si>
    <t>R03</t>
  </si>
  <si>
    <t>OTONIEL</t>
  </si>
  <si>
    <t>SATURNINO CIMBRA</t>
  </si>
  <si>
    <t>VIERNES 20 DE MARZO 2026</t>
  </si>
  <si>
    <t>CA34</t>
  </si>
  <si>
    <t>TUBOS</t>
  </si>
  <si>
    <t>INES</t>
  </si>
  <si>
    <t>maGO</t>
  </si>
  <si>
    <t>Nissan 03</t>
  </si>
  <si>
    <t>CHUY</t>
  </si>
  <si>
    <t>Bento</t>
  </si>
  <si>
    <t>Mena</t>
  </si>
  <si>
    <t>RODILLO BOMAG</t>
  </si>
  <si>
    <t>RODILLO PATA HAMM</t>
  </si>
  <si>
    <t>JAVIER</t>
  </si>
  <si>
    <t>MINI03</t>
  </si>
  <si>
    <t>Tobias</t>
  </si>
  <si>
    <t>R01</t>
  </si>
  <si>
    <t>Alliuz</t>
  </si>
  <si>
    <t>Yoshio</t>
  </si>
  <si>
    <t>Juan Vazquez</t>
  </si>
  <si>
    <t>Cadereyta</t>
  </si>
  <si>
    <t>JOSE INES</t>
  </si>
  <si>
    <t xml:space="preserve">SUMINISTRADO VIERNES </t>
  </si>
  <si>
    <t xml:space="preserve"> Suministrado del 07 al 13 de Marzo de 2026</t>
  </si>
  <si>
    <t>CAMIONES (TALLER)</t>
  </si>
  <si>
    <t>MAQUINARIA (TALLER)</t>
  </si>
  <si>
    <t>TOTAL SUMINISTRADO TALLER</t>
  </si>
  <si>
    <t>Viernes 13</t>
  </si>
  <si>
    <t>CARGAS  REY CANALES</t>
  </si>
  <si>
    <t>Suministrado:</t>
  </si>
  <si>
    <t xml:space="preserve"> Suministrado Taller 07al 13 de Marzo de 2026</t>
  </si>
  <si>
    <t>DISPONIBLE PARA SABADO 14 DE MARZO</t>
  </si>
  <si>
    <t>Sabado 14</t>
  </si>
  <si>
    <t>DIESEL 10,000 RICARDO PEREZ, SIN PRUEBA DE LAB</t>
  </si>
  <si>
    <t>DISPONIBLE</t>
  </si>
  <si>
    <t>DIESEL 11,000 ALAN RIVERA, SIN PRUEBA DE LAB</t>
  </si>
  <si>
    <t>Miercoles 18</t>
  </si>
  <si>
    <t>Jueves 19</t>
  </si>
  <si>
    <t xml:space="preserve"> Suministrado 14 al 20 de Marzo de 2026</t>
  </si>
  <si>
    <t xml:space="preserve">CAMIONES </t>
  </si>
  <si>
    <t xml:space="preserve">MAQUINARIA </t>
  </si>
  <si>
    <t xml:space="preserve"> DE LOS CUALES:</t>
  </si>
  <si>
    <t>NISSAN 03 18-mar</t>
  </si>
  <si>
    <t>Viernes 20</t>
  </si>
  <si>
    <t xml:space="preserve"> Suministrado Taller 14 al 20 de Marzo de 2026</t>
  </si>
  <si>
    <t>DISPONIBLE PARA SABADO 21 DE MARZO</t>
  </si>
  <si>
    <t>Victor Marcial</t>
  </si>
  <si>
    <t>PROXIMO MANTENIMIENTO</t>
  </si>
  <si>
    <t>REND</t>
  </si>
  <si>
    <t>PREVIO 10/MARZO</t>
  </si>
  <si>
    <t>ID CAMION</t>
  </si>
  <si>
    <t>CHOFER</t>
  </si>
  <si>
    <t>FECHA</t>
  </si>
  <si>
    <t>CARGA</t>
  </si>
  <si>
    <t>ODOMETRO</t>
  </si>
  <si>
    <t>RENDIMIENTO</t>
  </si>
  <si>
    <t>NOTA</t>
  </si>
  <si>
    <t>ULTIMA CARGA DE PERIODO ANTERIOR</t>
  </si>
  <si>
    <t>Bernabe</t>
  </si>
  <si>
    <t>CRISTOFER</t>
  </si>
  <si>
    <t>CORTE KMS</t>
  </si>
  <si>
    <t>MANT. PREVIO  13/Marzo</t>
  </si>
  <si>
    <t>I</t>
  </si>
  <si>
    <t>ANTONIO TORRES</t>
  </si>
  <si>
    <t>JUAN OLGUIN</t>
  </si>
  <si>
    <t>Francisco Gz</t>
  </si>
  <si>
    <t>PREVIO  27/FEB</t>
  </si>
  <si>
    <t>VICTOR GAYTAN</t>
  </si>
  <si>
    <t>ERIC</t>
  </si>
  <si>
    <t>JULIO</t>
  </si>
  <si>
    <t>Juan carlos maldonado</t>
  </si>
  <si>
    <t>PREVIO  28/FEB</t>
  </si>
  <si>
    <t>JOSE INES ARROYO</t>
  </si>
  <si>
    <t>Corte KMs</t>
  </si>
  <si>
    <t>O</t>
  </si>
  <si>
    <t>CESAR ALEJANDRO</t>
  </si>
  <si>
    <t>Victor Duran</t>
  </si>
  <si>
    <t>ALEJANDRO CASTILLO</t>
  </si>
  <si>
    <t>MEDINA</t>
  </si>
  <si>
    <t>MENA</t>
  </si>
  <si>
    <t>LUIS Gzz</t>
  </si>
  <si>
    <t xml:space="preserve">Corte kms </t>
  </si>
  <si>
    <t>BENITO</t>
  </si>
  <si>
    <t>Corte KMS</t>
  </si>
  <si>
    <t>PREVIO 14/MARZO</t>
  </si>
  <si>
    <t>CHUY ARROYO</t>
  </si>
  <si>
    <t>corte KMS</t>
  </si>
  <si>
    <t>proximo mantenimiento</t>
  </si>
  <si>
    <t>ESTRADA</t>
  </si>
  <si>
    <t>KMS REC.</t>
  </si>
  <si>
    <t>Rendimientos del 14 al 20 de Marzo de 2026</t>
  </si>
  <si>
    <t>OBSERVACIONES</t>
  </si>
  <si>
    <t>UNIDAD</t>
  </si>
  <si>
    <t>DISTANCIA</t>
  </si>
  <si>
    <t>SEMANAL</t>
  </si>
  <si>
    <t>REND PRUEBA</t>
  </si>
  <si>
    <t>DIFERENCIA</t>
  </si>
  <si>
    <t>TOLERANCIA 5%</t>
  </si>
  <si>
    <t>DIF / 5%</t>
  </si>
  <si>
    <t xml:space="preserve">Taller WB </t>
  </si>
  <si>
    <t>CA01</t>
  </si>
  <si>
    <t>VICTOR MARCIAL</t>
  </si>
  <si>
    <t>BERNABE</t>
  </si>
  <si>
    <t>CA09</t>
  </si>
  <si>
    <t>CA10</t>
  </si>
  <si>
    <t>ANTONIO T</t>
  </si>
  <si>
    <t>FRANCISCO</t>
  </si>
  <si>
    <t>Consumo diesel alto por prueba</t>
  </si>
  <si>
    <t xml:space="preserve">JULIO </t>
  </si>
  <si>
    <t>JUAN CARLOS MALDONADO</t>
  </si>
  <si>
    <t xml:space="preserve">Corte Kms </t>
  </si>
  <si>
    <t>ALEX CASTILLO</t>
  </si>
  <si>
    <t>VICTOR DURAN</t>
  </si>
  <si>
    <t>COMODIN</t>
  </si>
  <si>
    <t>LUIS MEDINA</t>
  </si>
  <si>
    <t>ENRIQUE MENA</t>
  </si>
  <si>
    <t>LUIS GONZALEZ</t>
  </si>
  <si>
    <t>Medio tanque +</t>
  </si>
  <si>
    <t>BELMARES</t>
  </si>
  <si>
    <t>Corte Kms / Medio tanque</t>
  </si>
  <si>
    <t>CHUYITO</t>
  </si>
  <si>
    <t>TOMAS</t>
  </si>
  <si>
    <t>N.D.</t>
  </si>
  <si>
    <t>DIESEL TALLER CAMIONES</t>
  </si>
  <si>
    <t>DIESEL MAQUINARIA</t>
  </si>
  <si>
    <t>TOTAL SUMINISTRADO</t>
  </si>
  <si>
    <t>CONSUMOS MAQUINARIA SEMANA 14 AL 20 DE MARZO 2026</t>
  </si>
  <si>
    <t>PLANTA DE LUZ  AZUL</t>
  </si>
  <si>
    <t>EX02 KOMATSU PC88</t>
  </si>
  <si>
    <t>EX03 CAT308ER</t>
  </si>
  <si>
    <t>EX13 KOMATSU PC210</t>
  </si>
  <si>
    <t>EX14 KOMATSU PC200</t>
  </si>
  <si>
    <t>R02 WB140</t>
  </si>
  <si>
    <t>R03 JCB</t>
  </si>
  <si>
    <t>R04 NH80cx</t>
  </si>
  <si>
    <t>MINI02 CAT 236D</t>
  </si>
  <si>
    <t>M03 KOMATSU</t>
  </si>
  <si>
    <t>RODILLON BOMAG</t>
  </si>
  <si>
    <t>RO 07</t>
  </si>
  <si>
    <t>i</t>
  </si>
  <si>
    <t>RETRO JCB VERDE R06</t>
  </si>
  <si>
    <t>MODELO</t>
  </si>
  <si>
    <t>HORAS TRABAJADAS</t>
  </si>
  <si>
    <t>COMENTARIOs</t>
  </si>
  <si>
    <t>NOTAS</t>
  </si>
  <si>
    <t>EQUIPO</t>
  </si>
  <si>
    <t>RENDIMIENO</t>
  </si>
  <si>
    <t>OBSERV.</t>
  </si>
  <si>
    <t>HOROMETRO</t>
  </si>
  <si>
    <t>ALLIUZ</t>
  </si>
  <si>
    <t xml:space="preserve">EX07 </t>
  </si>
  <si>
    <t xml:space="preserve">EX08 </t>
  </si>
  <si>
    <t>EX09</t>
  </si>
  <si>
    <t>TOBIAS</t>
  </si>
  <si>
    <t>NOTA 3306</t>
  </si>
  <si>
    <t>EX10</t>
  </si>
  <si>
    <t>EX12</t>
  </si>
  <si>
    <t>CARLOS M</t>
  </si>
  <si>
    <t>Punto Principal</t>
  </si>
  <si>
    <t>HILUX-6031 Traspaso</t>
  </si>
  <si>
    <t>NEW HOLLAND B80C</t>
  </si>
  <si>
    <t>JOSE C.</t>
  </si>
  <si>
    <t>sale a banorte HLM</t>
  </si>
  <si>
    <t>R06</t>
  </si>
  <si>
    <t>CF01 908m</t>
  </si>
  <si>
    <t>taller</t>
  </si>
  <si>
    <t>MINI01 CAT 262D3</t>
  </si>
  <si>
    <t>satu</t>
  </si>
  <si>
    <t>RDS</t>
  </si>
  <si>
    <t>HAMM 02</t>
  </si>
  <si>
    <t>MANTENIMIENTO</t>
  </si>
  <si>
    <t>RO 03</t>
  </si>
  <si>
    <t>DYNAPAC</t>
  </si>
  <si>
    <t>RO 06 CAT</t>
  </si>
  <si>
    <t>RODILLO HAMM GRANDE PTA DE CABRA</t>
  </si>
  <si>
    <t>MONTACARGAS</t>
  </si>
  <si>
    <t>NOTA 5926</t>
  </si>
  <si>
    <t>R CASE  580 N</t>
  </si>
  <si>
    <t>PEDRO</t>
  </si>
  <si>
    <t>COMENTARIOS</t>
  </si>
  <si>
    <t>EXJD 35G</t>
  </si>
  <si>
    <t>TALLER A SP</t>
  </si>
  <si>
    <t>MANTENIMIENTO 350 HORAS</t>
  </si>
  <si>
    <t>VALLEREAL</t>
  </si>
  <si>
    <t>EX05 KOMATSU PC200</t>
  </si>
  <si>
    <t>MENCHACA</t>
  </si>
  <si>
    <t>308D</t>
  </si>
  <si>
    <t>307 CAT</t>
  </si>
  <si>
    <t>PC130</t>
  </si>
  <si>
    <t>NOTA 6244</t>
  </si>
  <si>
    <t>CAT312</t>
  </si>
  <si>
    <t>MARCIAL</t>
  </si>
  <si>
    <t>mantenimiento</t>
  </si>
  <si>
    <t>JD50D</t>
  </si>
  <si>
    <t>VIDUSA P. JARDIN</t>
  </si>
  <si>
    <t>R01 NH</t>
  </si>
  <si>
    <t>YOSHIO</t>
  </si>
  <si>
    <t>SALE TALLER</t>
  </si>
  <si>
    <t xml:space="preserve">KOMATSU </t>
  </si>
  <si>
    <t>BANORTE HLM</t>
  </si>
  <si>
    <t>JCB VERDE</t>
  </si>
  <si>
    <t>sergio</t>
  </si>
  <si>
    <t>MANTENIMITNO</t>
  </si>
  <si>
    <t>RV02</t>
  </si>
  <si>
    <t>sale a sta isabel</t>
  </si>
  <si>
    <t>PATITA DE CABRA</t>
  </si>
  <si>
    <t>CE-224E</t>
  </si>
  <si>
    <t>NOTA 6039</t>
  </si>
  <si>
    <t>JUAREZ</t>
  </si>
  <si>
    <t>TL08</t>
  </si>
  <si>
    <t>TRACK</t>
  </si>
  <si>
    <t>TL07</t>
  </si>
  <si>
    <t>TANQUE 413LT</t>
  </si>
  <si>
    <t>T400</t>
  </si>
  <si>
    <t>PLANTA DE LUZ AZUL</t>
  </si>
  <si>
    <t>SALE A ALLIUZ</t>
  </si>
  <si>
    <t>BANORTE</t>
  </si>
  <si>
    <t>SALE A VALLE REAL</t>
  </si>
  <si>
    <t>Sale a Sta. Isabel</t>
  </si>
  <si>
    <t>NOTA 6269</t>
  </si>
  <si>
    <t>VIDUSA BARRIAL</t>
  </si>
  <si>
    <t>R01 NHB0C</t>
  </si>
  <si>
    <t>Calzada</t>
  </si>
  <si>
    <t>WB140</t>
  </si>
  <si>
    <t>Villela</t>
  </si>
  <si>
    <t>fimex</t>
  </si>
  <si>
    <t xml:space="preserve">Villela </t>
  </si>
  <si>
    <t>Fimex</t>
  </si>
  <si>
    <t>VALLE REAL</t>
  </si>
  <si>
    <t>N/A</t>
  </si>
  <si>
    <t>villela</t>
  </si>
  <si>
    <t>NOTA 6252</t>
  </si>
  <si>
    <t>deposito</t>
  </si>
  <si>
    <t>RIGO</t>
  </si>
  <si>
    <t>STA. ISABEL</t>
  </si>
  <si>
    <t>PUERTA JARDIN</t>
  </si>
  <si>
    <t>040 LTS</t>
  </si>
  <si>
    <t>YOSHUA</t>
  </si>
  <si>
    <t>Banorte</t>
  </si>
  <si>
    <t>DEPOSITO</t>
  </si>
  <si>
    <t>LUCIANO X</t>
  </si>
  <si>
    <t>privadas de escobedo</t>
  </si>
  <si>
    <t>CADER</t>
  </si>
  <si>
    <t>SALE  VALLE REAL</t>
  </si>
  <si>
    <t>88:88:8</t>
  </si>
  <si>
    <t>TANQUE</t>
  </si>
  <si>
    <t>Mitras</t>
  </si>
  <si>
    <t>INYECTOR NUEVO</t>
  </si>
  <si>
    <t>Luis</t>
  </si>
  <si>
    <t>Tampiquito</t>
  </si>
  <si>
    <t>BANORT</t>
  </si>
  <si>
    <t>GUSTAVO</t>
  </si>
  <si>
    <t>tobias</t>
  </si>
  <si>
    <t>PDE</t>
  </si>
  <si>
    <t>GARRAFAS</t>
  </si>
  <si>
    <t>RV04</t>
  </si>
  <si>
    <t>IGLESIA SP</t>
  </si>
  <si>
    <t xml:space="preserve">RAM </t>
  </si>
  <si>
    <t>SALE A BHLM</t>
  </si>
  <si>
    <t>3 puertas</t>
  </si>
  <si>
    <t>SALE A ZINC</t>
  </si>
  <si>
    <t>CAF0198M</t>
  </si>
  <si>
    <t>Colinas del sol</t>
  </si>
  <si>
    <t>pbispado</t>
  </si>
  <si>
    <t>PP Norte GP</t>
  </si>
  <si>
    <t xml:space="preserve">EX1250D </t>
  </si>
  <si>
    <t xml:space="preserve">Portal </t>
  </si>
  <si>
    <t>nissan</t>
  </si>
  <si>
    <t>FIMEX</t>
  </si>
  <si>
    <t>VILLELA</t>
  </si>
  <si>
    <t>PILARES</t>
  </si>
  <si>
    <t>CALLEJON</t>
  </si>
  <si>
    <t>EX35G</t>
  </si>
  <si>
    <t>10::42</t>
  </si>
  <si>
    <t>Pilares</t>
  </si>
  <si>
    <t>NOTA 5810</t>
  </si>
  <si>
    <t>ALBERTO</t>
  </si>
  <si>
    <t xml:space="preserve">Proximo mantenimiento </t>
  </si>
  <si>
    <t>NOTA 5851</t>
  </si>
  <si>
    <t>JARDINES</t>
  </si>
  <si>
    <t>BETO</t>
  </si>
  <si>
    <t>SALE A PDE</t>
  </si>
  <si>
    <t>PDE AUTOZONE</t>
  </si>
  <si>
    <t xml:space="preserve">ultimo mantenimiento </t>
  </si>
  <si>
    <t>PATIO MENCHACA</t>
  </si>
  <si>
    <t>PULVERIZER</t>
  </si>
  <si>
    <t>NOTA 5885</t>
  </si>
  <si>
    <t>NOTA HILUX 3843</t>
  </si>
  <si>
    <t>NOTA 5786</t>
  </si>
  <si>
    <t>YOSHUA}</t>
  </si>
  <si>
    <t>SALE A SAN BERNA</t>
  </si>
  <si>
    <t>MANTENMIENTO</t>
  </si>
  <si>
    <t>MISSISSIPI</t>
  </si>
  <si>
    <t>NOTA 5924</t>
  </si>
  <si>
    <t>JUAN VILLELA</t>
  </si>
  <si>
    <t>Jurisdiccion</t>
  </si>
  <si>
    <t>NOTA 5806</t>
  </si>
  <si>
    <t>RENTA</t>
  </si>
  <si>
    <t>SAN BERNA</t>
  </si>
  <si>
    <t xml:space="preserve">taller </t>
  </si>
  <si>
    <t>sale a sierra b</t>
  </si>
  <si>
    <t>PROX 4288</t>
  </si>
  <si>
    <t>COLINAS DEL SOL</t>
  </si>
  <si>
    <t>PLANTA DE LUZ VERDE 06</t>
  </si>
  <si>
    <t>NOTA 5962</t>
  </si>
  <si>
    <t>CORREGIDORA</t>
  </si>
  <si>
    <t>NOTA 5834</t>
  </si>
  <si>
    <t>RO03 IR patita</t>
  </si>
  <si>
    <t>taller a Banor</t>
  </si>
  <si>
    <t>Z</t>
  </si>
  <si>
    <t>SALE A JLS</t>
  </si>
  <si>
    <t>napoles</t>
  </si>
  <si>
    <t>NOTA 5989</t>
  </si>
  <si>
    <t>VILLA JUAREZ</t>
  </si>
  <si>
    <t>NOTA 5845</t>
  </si>
  <si>
    <t>Banorte HLM</t>
  </si>
  <si>
    <t>9201 - 7812 HILUX</t>
  </si>
  <si>
    <t>PABLO LIVAS RENTA</t>
  </si>
  <si>
    <t>sale a PDE</t>
  </si>
  <si>
    <t>RO 04</t>
  </si>
  <si>
    <t>SALE A PUNTO CENTRAL</t>
  </si>
  <si>
    <t>NOTA 6037</t>
  </si>
  <si>
    <t>9;:53</t>
  </si>
  <si>
    <t>PORTO</t>
  </si>
  <si>
    <t>NOTA 5871</t>
  </si>
  <si>
    <t>BOTE DE TALLER</t>
  </si>
  <si>
    <t>CEDROS</t>
  </si>
  <si>
    <t>PUNTO CENTRAL</t>
  </si>
  <si>
    <t>NOTA 6069</t>
  </si>
  <si>
    <t>SAN BLAS</t>
  </si>
  <si>
    <t>SALE OBRA</t>
  </si>
  <si>
    <t>NOTA 5904</t>
  </si>
  <si>
    <t>1505?</t>
  </si>
  <si>
    <t>JDS</t>
  </si>
  <si>
    <t>CHINO</t>
  </si>
  <si>
    <t>YOGAS TALLER</t>
  </si>
  <si>
    <t>NOTA 6102</t>
  </si>
  <si>
    <t>IZAGUIRRE</t>
  </si>
  <si>
    <t>NOTA 5931</t>
  </si>
  <si>
    <t>ESTANZUELA</t>
  </si>
  <si>
    <t>alianza renta</t>
  </si>
  <si>
    <t>MECOSPOÑOS</t>
  </si>
  <si>
    <t>NOTA 6129</t>
  </si>
  <si>
    <t>EMILIO</t>
  </si>
  <si>
    <t>NOTA 5861</t>
  </si>
  <si>
    <t>NOTA 5955</t>
  </si>
  <si>
    <t>APODACA-JRZ</t>
  </si>
  <si>
    <t>VALLE ALTO</t>
  </si>
  <si>
    <t>EX07</t>
  </si>
  <si>
    <t>NOTA 6161</t>
  </si>
  <si>
    <t>NOTA 5919</t>
  </si>
  <si>
    <t>PORTO JARDIN</t>
  </si>
  <si>
    <t>NOTA 3217</t>
  </si>
  <si>
    <t>Callejones</t>
  </si>
  <si>
    <t>RENTA MITRAS PTE</t>
  </si>
  <si>
    <t>CLUB DE POLO</t>
  </si>
  <si>
    <t>NOTA 6182</t>
  </si>
  <si>
    <t>NOTA 5978</t>
  </si>
  <si>
    <t>manuel</t>
  </si>
  <si>
    <t>NOTA 6003</t>
  </si>
  <si>
    <t xml:space="preserve"> REGENERACION 9/Jun</t>
  </si>
  <si>
    <t>32 carga + 60 reserv</t>
  </si>
  <si>
    <t>NOTA 6215</t>
  </si>
  <si>
    <t>NOTA 6012</t>
  </si>
  <si>
    <t>stock taller</t>
  </si>
  <si>
    <t>Walter</t>
  </si>
  <si>
    <t>diesel en botes</t>
  </si>
  <si>
    <t>NOTA 6015</t>
  </si>
  <si>
    <t>Gustavo Olivares</t>
  </si>
  <si>
    <t>TAVO</t>
  </si>
  <si>
    <t>jose monrreal</t>
  </si>
  <si>
    <t>21 carga + 66 reserv</t>
  </si>
  <si>
    <t>NOTA 6216</t>
  </si>
  <si>
    <t>NOTA 6029</t>
  </si>
  <si>
    <t>nissn</t>
  </si>
  <si>
    <t>NOTA 6028</t>
  </si>
  <si>
    <t>RENTA A CADEREYTA</t>
  </si>
  <si>
    <t>Carlos M</t>
  </si>
  <si>
    <t>NOTA 6257</t>
  </si>
  <si>
    <t>NOTA 6068</t>
  </si>
  <si>
    <t>NOTA 6048</t>
  </si>
  <si>
    <t>CADEREYTA ESCUELA</t>
  </si>
  <si>
    <t>COLINAS DEL SOL2</t>
  </si>
  <si>
    <t>NOTA 6097</t>
  </si>
  <si>
    <t>OPORTO</t>
  </si>
  <si>
    <t>SIN INFO</t>
  </si>
  <si>
    <t xml:space="preserve">MANTENIMIENTO </t>
  </si>
  <si>
    <t>MINI CAT 262D3</t>
  </si>
  <si>
    <t>sale a Fundi</t>
  </si>
  <si>
    <t>15 DE MAYO</t>
  </si>
  <si>
    <t>SALE  A ALLIUZ</t>
  </si>
  <si>
    <t>JAVIER LPZ</t>
  </si>
  <si>
    <t>NOTA 6132</t>
  </si>
  <si>
    <t>AGUA FRIA</t>
  </si>
  <si>
    <t>oxxo gas</t>
  </si>
  <si>
    <t xml:space="preserve">NOVUS </t>
  </si>
  <si>
    <t>Jardines</t>
  </si>
  <si>
    <t>Dimas</t>
  </si>
  <si>
    <t>NOTA 6162</t>
  </si>
  <si>
    <t>ALEN</t>
  </si>
  <si>
    <t>PLUTARCO</t>
  </si>
  <si>
    <t>TL0</t>
  </si>
  <si>
    <t>NOTA 6188</t>
  </si>
  <si>
    <t xml:space="preserve">proximo mantenimiento </t>
  </si>
  <si>
    <t>san diego</t>
  </si>
  <si>
    <t>riveras del sol</t>
  </si>
  <si>
    <t>NOTA 6234</t>
  </si>
  <si>
    <t>HILUX</t>
  </si>
  <si>
    <t>ROLANDO/Hilux</t>
  </si>
  <si>
    <t>mantenimiento previo</t>
  </si>
  <si>
    <t>Renta</t>
  </si>
  <si>
    <t>SAN DIEGO</t>
  </si>
  <si>
    <t>NOTA 6261</t>
  </si>
  <si>
    <t>PARQUE 300</t>
  </si>
  <si>
    <t>sale a Escobedo</t>
  </si>
  <si>
    <t>ColinaS</t>
  </si>
  <si>
    <t>Av Chopo</t>
  </si>
  <si>
    <t>sin operador</t>
  </si>
  <si>
    <t>LUIS</t>
  </si>
  <si>
    <t>SALE A CDS</t>
  </si>
  <si>
    <t>SALE A SAN DIEGO</t>
  </si>
  <si>
    <t>OXXO</t>
  </si>
  <si>
    <t>|</t>
  </si>
  <si>
    <t>Beto</t>
  </si>
  <si>
    <t>Hilux traspaso NIssan03</t>
  </si>
  <si>
    <t>VISITA TECNICOS</t>
  </si>
  <si>
    <t>CDS</t>
  </si>
  <si>
    <t>Pilares Vidusa</t>
  </si>
  <si>
    <t>CUELLAR</t>
  </si>
  <si>
    <t>callejon d los ayala</t>
  </si>
  <si>
    <t>SALE CANALES</t>
  </si>
  <si>
    <t>HDA MONTE CARLO</t>
  </si>
  <si>
    <t>REP. PISTON ORUGAS</t>
  </si>
  <si>
    <t>YOGA</t>
  </si>
  <si>
    <t>SERVICIO</t>
  </si>
  <si>
    <t>Mantenimiento</t>
  </si>
  <si>
    <t>Manuel iza</t>
  </si>
  <si>
    <t>PROXIMO</t>
  </si>
  <si>
    <t>bote</t>
  </si>
  <si>
    <t>colinas del sol</t>
  </si>
  <si>
    <t>UTIMO MANTENIMIENTO</t>
  </si>
  <si>
    <t>PLANTA DE LUZ  VERDE</t>
  </si>
  <si>
    <t>del maestro</t>
  </si>
  <si>
    <t>Privadas de escobedo</t>
  </si>
  <si>
    <t>HOMERO</t>
  </si>
  <si>
    <t>Ivan</t>
  </si>
  <si>
    <t>prox</t>
  </si>
  <si>
    <t>BECK</t>
  </si>
  <si>
    <t>C MARCIAL</t>
  </si>
  <si>
    <t>PALMILLAS</t>
  </si>
  <si>
    <t>mto previo</t>
  </si>
  <si>
    <t>NOTA 3316</t>
  </si>
  <si>
    <t>6 GRASA MARTILLO</t>
  </si>
  <si>
    <t>SALE A 15 DE MAYO</t>
  </si>
  <si>
    <t>Privada Escobedo</t>
  </si>
  <si>
    <t>Almendros apodaca</t>
  </si>
  <si>
    <t>EX 10</t>
  </si>
  <si>
    <t>Jesus A</t>
  </si>
  <si>
    <t>MARQUESA</t>
  </si>
  <si>
    <t>Mantenimiento Previo</t>
  </si>
  <si>
    <t>YOSUHA</t>
  </si>
  <si>
    <t>Sale a Pilares</t>
  </si>
  <si>
    <t>TL 05</t>
  </si>
  <si>
    <t>hilux</t>
  </si>
  <si>
    <t>TRAC</t>
  </si>
  <si>
    <t>KM</t>
  </si>
  <si>
    <t>MAGO</t>
  </si>
  <si>
    <t>TANQUE 413 LT</t>
  </si>
  <si>
    <t>EX10 CAT312</t>
  </si>
  <si>
    <t>PROXIMO MTO</t>
  </si>
  <si>
    <t>beto</t>
  </si>
  <si>
    <t>LAZARO</t>
  </si>
  <si>
    <t>reserve</t>
  </si>
  <si>
    <t>RODRIGO</t>
  </si>
  <si>
    <t xml:space="preserve">(CARGA 37, RESERVA 17) </t>
  </si>
  <si>
    <t xml:space="preserve">(CARGA 40, RESERVA 20) </t>
  </si>
  <si>
    <t>LUIS RAMIREZ</t>
  </si>
  <si>
    <t>POKER NORTE GP / LUIS</t>
  </si>
  <si>
    <t xml:space="preserve">(CARGA Y RESERVA ) </t>
  </si>
  <si>
    <t>PRUEBA RENDI</t>
  </si>
  <si>
    <t>RIFO</t>
  </si>
  <si>
    <t>Mantenimiento previo</t>
  </si>
  <si>
    <t>Santa isabel</t>
  </si>
  <si>
    <t>COLINAS AERO</t>
  </si>
  <si>
    <t>Carlos marcial</t>
  </si>
  <si>
    <t>Irving</t>
  </si>
  <si>
    <t>NOTA 4809</t>
  </si>
  <si>
    <t>SIERRA BAJA</t>
  </si>
  <si>
    <t>JAVIER LOPEZ</t>
  </si>
  <si>
    <t>Rio volga</t>
  </si>
  <si>
    <t>16 SEP SP GG</t>
  </si>
  <si>
    <t>DEL VALLE</t>
  </si>
  <si>
    <t>APOYO RESCATE</t>
  </si>
  <si>
    <t>SALE A RDS</t>
  </si>
  <si>
    <t>TAMPIQUITO</t>
  </si>
  <si>
    <t>Monterrey centro</t>
  </si>
  <si>
    <t xml:space="preserve"> Santo domingo}</t>
  </si>
  <si>
    <t>Plutarco Elias</t>
  </si>
  <si>
    <t>Inyector de grasa 06/Junio</t>
  </si>
  <si>
    <t>Loma Blanca</t>
  </si>
  <si>
    <t>JOSE GPE</t>
  </si>
  <si>
    <t>FRAC. LAS VELAS</t>
  </si>
  <si>
    <t>SIMRYSE</t>
  </si>
  <si>
    <t>11:04|</t>
  </si>
  <si>
    <t>LAS VELAS</t>
  </si>
  <si>
    <t>TL 06</t>
  </si>
  <si>
    <t>COESA</t>
  </si>
  <si>
    <t>SALE APLUTARCO</t>
  </si>
  <si>
    <t>verde</t>
  </si>
  <si>
    <t>IRVING</t>
  </si>
  <si>
    <t>AYD SALINAS</t>
  </si>
  <si>
    <t>Luis Rmz</t>
  </si>
  <si>
    <t>sergio zuñiga</t>
  </si>
  <si>
    <t>CENTRO MTY</t>
  </si>
  <si>
    <t>Levantamiento 22/oct</t>
  </si>
  <si>
    <t>Cantoral</t>
  </si>
  <si>
    <t>Sergio</t>
  </si>
  <si>
    <t>Salinas</t>
  </si>
  <si>
    <t>SALE A OBRA</t>
  </si>
  <si>
    <t>CAMBIO DE HIDRAULICO MARTIN</t>
  </si>
  <si>
    <t>LUIS RAMIREZ FLACO</t>
  </si>
  <si>
    <t>15 DE MAY</t>
  </si>
  <si>
    <t>PUERTA DEL SOL</t>
  </si>
  <si>
    <t>LA Y</t>
  </si>
  <si>
    <t xml:space="preserve">Salinas </t>
  </si>
  <si>
    <t>CENTRO</t>
  </si>
  <si>
    <t>Y GRIEGA</t>
  </si>
  <si>
    <t>CAMBIO FILTROS DIESEL</t>
  </si>
  <si>
    <t>nissan -02</t>
  </si>
  <si>
    <t>OXXOGAS HILUX</t>
  </si>
  <si>
    <t>NORCENTRICO</t>
  </si>
  <si>
    <t>STA ISABEL</t>
  </si>
  <si>
    <t>ANNASKY</t>
  </si>
  <si>
    <t>HILUXXXX</t>
  </si>
  <si>
    <t>12 L CIMBRA</t>
  </si>
  <si>
    <t>CASA BLANCA</t>
  </si>
  <si>
    <t>OXXOGAS MAGO</t>
  </si>
  <si>
    <t>RIGo</t>
  </si>
  <si>
    <t>san angel</t>
  </si>
  <si>
    <t>INAN</t>
  </si>
  <si>
    <t>EX 07</t>
  </si>
  <si>
    <t>Ultimo Mantenimiento</t>
  </si>
  <si>
    <t>EX09 PC130</t>
  </si>
  <si>
    <t>CAMBIO FILTRO HIDRAULICO</t>
  </si>
  <si>
    <t>CAMBIO FILTRO MARTILLO , HIDRAULICO Y PREFILTRO DIESEL</t>
  </si>
  <si>
    <t>nissan 02</t>
  </si>
  <si>
    <t>COLOSIO</t>
  </si>
  <si>
    <t xml:space="preserve">nissan  </t>
  </si>
  <si>
    <t>SM ESCOBEDO</t>
  </si>
  <si>
    <t>Privadas de escobeibi</t>
  </si>
  <si>
    <t>9 hrs trabajadas gps</t>
  </si>
  <si>
    <t xml:space="preserve">MANUEL </t>
  </si>
  <si>
    <t>MANTENIMIENTo</t>
  </si>
  <si>
    <t>oxxogas</t>
  </si>
  <si>
    <t>SALE A GPE</t>
  </si>
  <si>
    <t>PDE Autozone</t>
  </si>
  <si>
    <t>GUADALUPS</t>
  </si>
  <si>
    <t>CHOLO</t>
  </si>
  <si>
    <t>RIO TAMESIS</t>
  </si>
  <si>
    <t>sale a  cadareyta</t>
  </si>
  <si>
    <t>Napoles</t>
  </si>
  <si>
    <t>11:000</t>
  </si>
  <si>
    <t>DIESEL DE TALLER</t>
  </si>
  <si>
    <t>EX07 308</t>
  </si>
  <si>
    <t>Javier pelon</t>
  </si>
  <si>
    <t>EX08 307D</t>
  </si>
  <si>
    <t>Fomerrey</t>
  </si>
  <si>
    <t>SALE A CUMBRES</t>
  </si>
  <si>
    <t>cumbres APX</t>
  </si>
  <si>
    <t>Horas para proximo Mto.</t>
  </si>
  <si>
    <t>SALE A SPGG</t>
  </si>
  <si>
    <t>HOROMETRO NUEVO</t>
  </si>
  <si>
    <t>Armando M</t>
  </si>
  <si>
    <t>LA CAMPANA</t>
  </si>
  <si>
    <t>Yerbaniz</t>
  </si>
  <si>
    <t>San Diego</t>
  </si>
  <si>
    <t>Colinas del aerop</t>
  </si>
  <si>
    <t>Proximo Mantenimiento</t>
  </si>
  <si>
    <t>HILUZ</t>
  </si>
  <si>
    <t>ESTEBAN</t>
  </si>
  <si>
    <t>ANDRES HDZ</t>
  </si>
  <si>
    <t>PROX. MANTENIMIENTO</t>
  </si>
  <si>
    <t>*horometro nuevo el 25/Ago</t>
  </si>
  <si>
    <t>ULTIMO MANTENIMIENTO</t>
  </si>
  <si>
    <t>TANQUE  400LT</t>
  </si>
  <si>
    <t>N.A.</t>
  </si>
  <si>
    <t>torre luz</t>
  </si>
  <si>
    <t>OBRA: TRAK</t>
  </si>
  <si>
    <t>cambio --&gt;</t>
  </si>
  <si>
    <t>EX2</t>
  </si>
  <si>
    <t>MINI CAT</t>
  </si>
  <si>
    <t>HAMM liso</t>
  </si>
  <si>
    <t>EX50D ex 12</t>
  </si>
  <si>
    <t>HAMM PATA gde</t>
  </si>
  <si>
    <t>EX02 312CAT</t>
  </si>
  <si>
    <t>R05 416f</t>
  </si>
  <si>
    <t xml:space="preserve">DEPOSITO </t>
  </si>
  <si>
    <t>M5 S550</t>
  </si>
  <si>
    <t>EX 50D</t>
  </si>
  <si>
    <t>EX11</t>
  </si>
  <si>
    <t>Mini oruga</t>
  </si>
  <si>
    <t>M05 BOBCAT</t>
  </si>
  <si>
    <t>EX08</t>
  </si>
  <si>
    <t>M4 259B3</t>
  </si>
  <si>
    <t>pata grande</t>
  </si>
  <si>
    <t>R01 case</t>
  </si>
  <si>
    <t>Torre de luez</t>
  </si>
  <si>
    <t>MINI B</t>
  </si>
  <si>
    <t>BOBCAT</t>
  </si>
  <si>
    <t>PLANTA DE ENERGIA</t>
  </si>
  <si>
    <t>EX KOMATSU</t>
  </si>
  <si>
    <t>GENERADOR</t>
  </si>
  <si>
    <t>PLANTA LUZ</t>
  </si>
  <si>
    <t>EX PC60 KOMATSU</t>
  </si>
  <si>
    <t>EX P60</t>
  </si>
  <si>
    <t xml:space="preserve">EX PC60   </t>
  </si>
  <si>
    <t>RODILLO HAMM GDE</t>
  </si>
  <si>
    <t>MINICAT</t>
  </si>
  <si>
    <t>MINI CDOR. BOBCAT</t>
  </si>
  <si>
    <t xml:space="preserve">R05   </t>
  </si>
  <si>
    <t xml:space="preserve">PLANTA </t>
  </si>
  <si>
    <t>EX11 pc 60</t>
  </si>
  <si>
    <t>R05</t>
  </si>
  <si>
    <t>PLANTA</t>
  </si>
  <si>
    <t xml:space="preserve">pc60 </t>
  </si>
  <si>
    <t>PC60</t>
  </si>
  <si>
    <t>Planta de luz</t>
  </si>
  <si>
    <t>PLANTA DE LUZ</t>
  </si>
  <si>
    <t>PLANTA  DE LUZ</t>
  </si>
  <si>
    <t>RESERVA PILARES</t>
  </si>
  <si>
    <t>PLANTA VERDE</t>
  </si>
  <si>
    <t>02 - 05 oct</t>
  </si>
  <si>
    <t>cambio a martillo bretec 20/Mar</t>
  </si>
  <si>
    <r>
      <t>CUENTA LT</t>
    </r>
    <r>
      <rPr>
        <b/>
        <sz val="12"/>
        <rFont val="Calibri"/>
        <family val="2"/>
      </rPr>
      <t xml:space="preserve"> I</t>
    </r>
  </si>
  <si>
    <r>
      <t xml:space="preserve">CUENTA LT </t>
    </r>
    <r>
      <rPr>
        <b/>
        <sz val="12"/>
        <rFont val="Calibri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</si>
</sst>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0\ &quot;LTS&quot;"/>
    <numFmt numFmtId="165" formatCode="0,000\ &quot;LTS&quot;"/>
    <numFmt numFmtId="166" formatCode="0\ &quot;LTS&quot;"/>
    <numFmt numFmtId="167" formatCode="000\ &quot;LTS&quot;"/>
    <numFmt numFmtId="168" formatCode="0,000\ &quot;Km&quot;"/>
    <numFmt numFmtId="169" formatCode="0.00\ &quot;KM/LTS&quot;"/>
    <numFmt numFmtId="170" formatCode="0.0000"/>
    <numFmt numFmtId="171" formatCode="0,000\ &quot;KM&quot;"/>
    <numFmt numFmtId="172" formatCode="0.00\ &quot;KM/LT&quot;"/>
    <numFmt numFmtId="173" formatCode="000,000\ &quot;KM&quot;"/>
    <numFmt numFmtId="174" formatCode="0\ &quot;HRS&quot;"/>
    <numFmt numFmtId="175" formatCode="d/m/yy;@"/>
    <numFmt numFmtId="176" formatCode="0.00\ &quot;HRS/LTS&quot;"/>
    <numFmt numFmtId="177" formatCode="000\ &quot;HRS&quot;"/>
    <numFmt numFmtId="178" formatCode="[$-F400]h:mm:ss\ AM/PM"/>
  </numFmts>
  <fonts count="57" x14ac:knownFonts="1">
    <font>
      <sz val="11"/>
      <color theme="1"/>
      <name val="Aptos Narrow"/>
      <family val="2"/>
      <scheme val="minor"/>
    </font>
    <font>
      <sz val="18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sz val="14"/>
      <color rgb="FFFF0000"/>
      <name val="Arial"/>
      <family val="2"/>
    </font>
    <font>
      <sz val="18"/>
      <name val="Calibri"/>
      <family val="2"/>
    </font>
    <font>
      <b/>
      <sz val="18"/>
      <color rgb="FF002060"/>
      <name val="Calibri"/>
      <family val="2"/>
    </font>
    <font>
      <b/>
      <sz val="16"/>
      <color rgb="FFC00000"/>
      <name val="Calibri"/>
      <family val="2"/>
    </font>
    <font>
      <b/>
      <sz val="16"/>
      <color theme="0" tint="-4.9989318521683403E-2"/>
      <name val="Calibri"/>
      <family val="2"/>
    </font>
    <font>
      <sz val="16"/>
      <color theme="0" tint="-4.9989318521683403E-2"/>
      <name val="Calibri"/>
      <family val="2"/>
    </font>
    <font>
      <sz val="16"/>
      <color theme="0"/>
      <name val="Calibri"/>
      <family val="2"/>
    </font>
    <font>
      <sz val="10"/>
      <name val="Arial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sz val="10"/>
      <name val="Arial"/>
      <family val="2"/>
    </font>
    <font>
      <b/>
      <sz val="14"/>
      <name val="Malgun Gothic"/>
      <family val="2"/>
    </font>
    <font>
      <sz val="14"/>
      <name val="Malgun Gothic"/>
      <family val="2"/>
    </font>
    <font>
      <sz val="12"/>
      <name val="Malgun Gothic"/>
      <family val="2"/>
    </font>
    <font>
      <b/>
      <sz val="14"/>
      <color theme="0"/>
      <name val="Malgun Gothic"/>
      <family val="2"/>
    </font>
    <font>
      <b/>
      <sz val="14"/>
      <color theme="1"/>
      <name val="Malgun Gothic"/>
      <family val="2"/>
    </font>
    <font>
      <sz val="14"/>
      <color theme="1"/>
      <name val="Malgun Gothic"/>
      <family val="2"/>
    </font>
    <font>
      <sz val="11"/>
      <name val="Arial"/>
      <family val="2"/>
    </font>
    <font>
      <sz val="14"/>
      <color rgb="FF9966FF"/>
      <name val="Malgun Gothic"/>
      <family val="2"/>
    </font>
    <font>
      <b/>
      <sz val="14"/>
      <color rgb="FF000000"/>
      <name val="Malgun Gothic"/>
      <family val="2"/>
    </font>
    <font>
      <b/>
      <sz val="12.5"/>
      <name val="Malgun Gothic"/>
      <family val="2"/>
    </font>
    <font>
      <sz val="14"/>
      <color theme="9" tint="-0.249977111117893"/>
      <name val="Malgun Gothic"/>
      <family val="2"/>
    </font>
    <font>
      <b/>
      <sz val="14"/>
      <color rgb="FFFF0000"/>
      <name val="Malgun Gothic"/>
      <family val="2"/>
    </font>
    <font>
      <sz val="14"/>
      <color rgb="FF7030A0"/>
      <name val="Malgun Gothic"/>
      <family val="2"/>
    </font>
    <font>
      <b/>
      <sz val="14"/>
      <color theme="9" tint="-0.249977111117893"/>
      <name val="Malgun Gothic"/>
      <family val="2"/>
    </font>
    <font>
      <sz val="10"/>
      <name val="Arial"/>
      <family val="2"/>
    </font>
    <font>
      <b/>
      <sz val="14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966FF"/>
      <name val="Aptos Narrow"/>
      <family val="2"/>
      <scheme val="minor"/>
    </font>
    <font>
      <sz val="12"/>
      <color theme="3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b/>
      <i/>
      <sz val="12"/>
      <name val="Aptos Narrow"/>
      <family val="2"/>
      <scheme val="minor"/>
    </font>
    <font>
      <sz val="12"/>
      <name val="Calibri"/>
      <family val="2"/>
    </font>
    <font>
      <sz val="12"/>
      <color rgb="FF9966FF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b/>
      <sz val="12"/>
      <color rgb="FF9966FF"/>
      <name val="Aptos Narrow"/>
      <family val="2"/>
      <scheme val="minor"/>
    </font>
    <font>
      <b/>
      <sz val="12"/>
      <name val="Calibri"/>
      <family val="2"/>
    </font>
    <font>
      <b/>
      <sz val="12"/>
      <color rgb="FFFFFF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9999FF"/>
      <name val="Aptos Narrow"/>
      <family val="2"/>
      <scheme val="minor"/>
    </font>
    <font>
      <sz val="12"/>
      <color rgb="FF00000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73E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92F7F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60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3B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A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14D2E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5CDFF"/>
        <bgColor indexed="64"/>
      </patternFill>
    </fill>
    <fill>
      <patternFill patternType="solid">
        <fgColor rgb="FFFFE389"/>
        <bgColor indexed="64"/>
      </patternFill>
    </fill>
    <fill>
      <patternFill patternType="solid">
        <fgColor rgb="FFF9FCF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7FD80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theme="9" tint="0.39997558519241921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/>
      <diagonal/>
    </border>
    <border>
      <left style="dotted">
        <color theme="3"/>
      </left>
      <right/>
      <top style="dotted">
        <color theme="3"/>
      </top>
      <bottom style="dotted">
        <color theme="3"/>
      </bottom>
      <diagonal/>
    </border>
    <border>
      <left style="dotted">
        <color theme="3"/>
      </left>
      <right style="dotted">
        <color theme="3"/>
      </right>
      <top style="dotted">
        <color theme="3"/>
      </top>
      <bottom style="dotted">
        <color theme="3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theme="3"/>
      </left>
      <right style="dotted">
        <color theme="3"/>
      </right>
      <top style="dotted">
        <color theme="3"/>
      </top>
      <bottom/>
      <diagonal/>
    </border>
    <border>
      <left style="dotted">
        <color theme="3"/>
      </left>
      <right/>
      <top style="dotted">
        <color theme="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9" fillId="0" borderId="0"/>
    <xf numFmtId="0" fontId="14" fillId="0" borderId="0"/>
  </cellStyleXfs>
  <cellXfs count="903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3" fillId="5" borderId="0" xfId="0" applyFont="1" applyFill="1" applyAlignment="1">
      <alignment horizontal="centerContinuous" vertical="center"/>
    </xf>
    <xf numFmtId="0" fontId="2" fillId="5" borderId="0" xfId="0" applyFont="1" applyFill="1" applyAlignment="1">
      <alignment horizontal="centerContinuous" vertical="center"/>
    </xf>
    <xf numFmtId="164" fontId="2" fillId="0" borderId="0" xfId="0" applyNumberFormat="1" applyFont="1" applyAlignment="1">
      <alignment vertical="center"/>
    </xf>
    <xf numFmtId="3" fontId="3" fillId="5" borderId="0" xfId="0" applyNumberFormat="1" applyFont="1" applyFill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Continuous" vertical="center"/>
    </xf>
    <xf numFmtId="164" fontId="2" fillId="5" borderId="0" xfId="0" applyNumberFormat="1" applyFont="1" applyFill="1" applyAlignment="1">
      <alignment horizontal="centerContinuous"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6" borderId="1" xfId="0" applyFont="1" applyFill="1" applyBorder="1" applyAlignment="1">
      <alignment horizontal="centerContinuous" vertical="center"/>
    </xf>
    <xf numFmtId="165" fontId="3" fillId="7" borderId="2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Continuous" vertical="center"/>
    </xf>
    <xf numFmtId="165" fontId="3" fillId="8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3" fontId="2" fillId="6" borderId="4" xfId="0" applyNumberFormat="1" applyFont="1" applyFill="1" applyBorder="1" applyAlignment="1">
      <alignment horizontal="center" vertical="center"/>
    </xf>
    <xf numFmtId="3" fontId="2" fillId="11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4" fillId="12" borderId="5" xfId="0" applyNumberFormat="1" applyFont="1" applyFill="1" applyBorder="1" applyAlignment="1">
      <alignment horizontal="center" vertical="center"/>
    </xf>
    <xf numFmtId="16" fontId="3" fillId="0" borderId="0" xfId="0" applyNumberFormat="1" applyFont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3" fontId="2" fillId="6" borderId="6" xfId="0" applyNumberFormat="1" applyFont="1" applyFill="1" applyBorder="1" applyAlignment="1">
      <alignment horizontal="center" vertical="center"/>
    </xf>
    <xf numFmtId="20" fontId="4" fillId="13" borderId="5" xfId="0" applyNumberFormat="1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164" fontId="4" fillId="13" borderId="5" xfId="0" applyNumberFormat="1" applyFont="1" applyFill="1" applyBorder="1" applyAlignment="1">
      <alignment horizontal="center" vertical="center"/>
    </xf>
    <xf numFmtId="3" fontId="4" fillId="13" borderId="5" xfId="0" applyNumberFormat="1" applyFont="1" applyFill="1" applyBorder="1" applyAlignment="1">
      <alignment horizontal="center" vertical="center"/>
    </xf>
    <xf numFmtId="165" fontId="4" fillId="13" borderId="5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2" fillId="15" borderId="9" xfId="0" applyFont="1" applyFill="1" applyBorder="1" applyAlignment="1">
      <alignment horizontal="centerContinuous" vertical="center" wrapText="1"/>
    </xf>
    <xf numFmtId="0" fontId="2" fillId="15" borderId="10" xfId="0" applyFont="1" applyFill="1" applyBorder="1" applyAlignment="1">
      <alignment horizontal="centerContinuous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7" borderId="3" xfId="0" applyFont="1" applyFill="1" applyBorder="1" applyAlignment="1">
      <alignment horizontal="center" vertical="center"/>
    </xf>
    <xf numFmtId="164" fontId="2" fillId="17" borderId="4" xfId="0" applyNumberFormat="1" applyFont="1" applyFill="1" applyBorder="1" applyAlignment="1">
      <alignment horizontal="center" vertical="center"/>
    </xf>
    <xf numFmtId="0" fontId="1" fillId="18" borderId="0" xfId="0" applyFont="1" applyFill="1" applyAlignment="1">
      <alignment vertical="center"/>
    </xf>
    <xf numFmtId="0" fontId="2" fillId="17" borderId="6" xfId="0" applyFont="1" applyFill="1" applyBorder="1" applyAlignment="1">
      <alignment horizontal="center" vertical="center"/>
    </xf>
    <xf numFmtId="164" fontId="2" fillId="17" borderId="6" xfId="0" applyNumberFormat="1" applyFont="1" applyFill="1" applyBorder="1" applyAlignment="1">
      <alignment horizontal="center" vertical="center"/>
    </xf>
    <xf numFmtId="3" fontId="2" fillId="17" borderId="6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19" borderId="0" xfId="0" applyFont="1" applyFill="1"/>
    <xf numFmtId="0" fontId="2" fillId="19" borderId="0" xfId="0" applyFont="1" applyFill="1"/>
    <xf numFmtId="164" fontId="2" fillId="19" borderId="0" xfId="0" applyNumberFormat="1" applyFont="1" applyFill="1"/>
    <xf numFmtId="3" fontId="2" fillId="19" borderId="0" xfId="0" applyNumberFormat="1" applyFont="1" applyFill="1"/>
    <xf numFmtId="0" fontId="2" fillId="19" borderId="0" xfId="0" applyFont="1" applyFill="1" applyAlignment="1">
      <alignment horizontal="center"/>
    </xf>
    <xf numFmtId="0" fontId="9" fillId="20" borderId="0" xfId="0" applyFont="1" applyFill="1" applyAlignment="1">
      <alignment horizontal="center"/>
    </xf>
    <xf numFmtId="0" fontId="2" fillId="20" borderId="0" xfId="0" applyFont="1" applyFill="1"/>
    <xf numFmtId="20" fontId="2" fillId="20" borderId="0" xfId="0" applyNumberFormat="1" applyFont="1" applyFill="1"/>
    <xf numFmtId="0" fontId="10" fillId="20" borderId="0" xfId="0" applyFont="1" applyFill="1" applyAlignment="1">
      <alignment horizontal="right"/>
    </xf>
    <xf numFmtId="0" fontId="2" fillId="20" borderId="0" xfId="0" applyFont="1" applyFill="1" applyAlignment="1">
      <alignment horizontal="left"/>
    </xf>
    <xf numFmtId="164" fontId="2" fillId="20" borderId="0" xfId="0" applyNumberFormat="1" applyFont="1" applyFill="1"/>
    <xf numFmtId="3" fontId="2" fillId="20" borderId="0" xfId="0" applyNumberFormat="1" applyFont="1" applyFill="1"/>
    <xf numFmtId="165" fontId="3" fillId="7" borderId="2" xfId="0" applyNumberFormat="1" applyFont="1" applyFill="1" applyBorder="1" applyAlignment="1">
      <alignment horizontal="center"/>
    </xf>
    <xf numFmtId="165" fontId="2" fillId="20" borderId="0" xfId="0" applyNumberFormat="1" applyFont="1" applyFill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>
      <alignment horizontal="center" vertical="center"/>
    </xf>
    <xf numFmtId="0" fontId="0" fillId="21" borderId="0" xfId="0" applyFill="1"/>
    <xf numFmtId="16" fontId="15" fillId="0" borderId="11" xfId="0" applyNumberFormat="1" applyFont="1" applyBorder="1" applyAlignment="1">
      <alignment horizontal="center" vertical="center"/>
    </xf>
    <xf numFmtId="0" fontId="15" fillId="22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5" fontId="16" fillId="0" borderId="14" xfId="0" applyNumberFormat="1" applyFont="1" applyBorder="1" applyAlignment="1">
      <alignment horizontal="center" vertical="center"/>
    </xf>
    <xf numFmtId="0" fontId="15" fillId="23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" fontId="15" fillId="0" borderId="16" xfId="0" applyNumberFormat="1" applyFont="1" applyBorder="1" applyAlignment="1">
      <alignment horizontal="center" vertical="center"/>
    </xf>
    <xf numFmtId="0" fontId="15" fillId="22" borderId="5" xfId="0" applyFont="1" applyFill="1" applyBorder="1" applyAlignment="1">
      <alignment horizontal="center" vertical="center"/>
    </xf>
    <xf numFmtId="165" fontId="16" fillId="0" borderId="17" xfId="0" applyNumberFormat="1" applyFont="1" applyBorder="1" applyAlignment="1">
      <alignment horizontal="center" vertical="center"/>
    </xf>
    <xf numFmtId="0" fontId="15" fillId="23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Continuous" vertical="center"/>
    </xf>
    <xf numFmtId="0" fontId="15" fillId="5" borderId="20" xfId="0" applyFont="1" applyFill="1" applyBorder="1" applyAlignment="1">
      <alignment horizontal="centerContinuous" vertical="center"/>
    </xf>
    <xf numFmtId="0" fontId="15" fillId="0" borderId="19" xfId="0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0" fontId="16" fillId="23" borderId="19" xfId="0" applyFont="1" applyFill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0" fontId="17" fillId="17" borderId="19" xfId="0" applyFont="1" applyFill="1" applyBorder="1" applyAlignment="1">
      <alignment horizontal="centerContinuous" vertical="center"/>
    </xf>
    <xf numFmtId="0" fontId="18" fillId="17" borderId="22" xfId="0" applyFont="1" applyFill="1" applyBorder="1" applyAlignment="1">
      <alignment horizontal="centerContinuous" vertical="center"/>
    </xf>
    <xf numFmtId="165" fontId="16" fillId="0" borderId="2" xfId="0" applyNumberFormat="1" applyFont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15" fillId="23" borderId="14" xfId="0" applyFont="1" applyFill="1" applyBorder="1" applyAlignment="1">
      <alignment horizontal="center" vertical="center"/>
    </xf>
    <xf numFmtId="0" fontId="15" fillId="22" borderId="6" xfId="0" applyFont="1" applyFill="1" applyBorder="1" applyAlignment="1">
      <alignment horizontal="center" vertical="center"/>
    </xf>
    <xf numFmtId="0" fontId="15" fillId="23" borderId="21" xfId="0" applyFont="1" applyFill="1" applyBorder="1" applyAlignment="1">
      <alignment horizontal="center" vertical="center"/>
    </xf>
    <xf numFmtId="166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Continuous" vertical="center"/>
    </xf>
    <xf numFmtId="0" fontId="15" fillId="5" borderId="25" xfId="0" applyFont="1" applyFill="1" applyBorder="1" applyAlignment="1">
      <alignment horizontal="centerContinuous" vertical="center"/>
    </xf>
    <xf numFmtId="0" fontId="15" fillId="12" borderId="12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24" borderId="9" xfId="0" applyFont="1" applyFill="1" applyBorder="1" applyAlignment="1">
      <alignment horizontal="centerContinuous" vertical="center"/>
    </xf>
    <xf numFmtId="0" fontId="15" fillId="24" borderId="25" xfId="0" applyFont="1" applyFill="1" applyBorder="1" applyAlignment="1">
      <alignment horizontal="centerContinuous" vertical="center"/>
    </xf>
    <xf numFmtId="0" fontId="15" fillId="12" borderId="5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16" fontId="15" fillId="0" borderId="26" xfId="0" applyNumberFormat="1" applyFont="1" applyBorder="1" applyAlignment="1">
      <alignment horizontal="center" vertical="center"/>
    </xf>
    <xf numFmtId="0" fontId="15" fillId="12" borderId="27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165" fontId="20" fillId="0" borderId="23" xfId="0" applyNumberFormat="1" applyFont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6" fillId="25" borderId="10" xfId="0" applyFont="1" applyFill="1" applyBorder="1" applyAlignment="1">
      <alignment horizontal="centerContinuous" vertical="center"/>
    </xf>
    <xf numFmtId="0" fontId="15" fillId="25" borderId="25" xfId="0" applyFont="1" applyFill="1" applyBorder="1" applyAlignment="1">
      <alignment horizontal="centerContinuous" vertical="center"/>
    </xf>
    <xf numFmtId="0" fontId="16" fillId="17" borderId="2" xfId="0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2" borderId="19" xfId="0" applyFont="1" applyFill="1" applyBorder="1" applyAlignment="1">
      <alignment horizontal="centerContinuous" vertical="center"/>
    </xf>
    <xf numFmtId="0" fontId="23" fillId="2" borderId="22" xfId="0" applyFont="1" applyFill="1" applyBorder="1" applyAlignment="1">
      <alignment horizontal="centerContinuous" vertical="center"/>
    </xf>
    <xf numFmtId="16" fontId="15" fillId="0" borderId="19" xfId="0" applyNumberFormat="1" applyFont="1" applyBorder="1" applyAlignment="1">
      <alignment horizontal="center" vertical="center"/>
    </xf>
    <xf numFmtId="0" fontId="15" fillId="22" borderId="27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4" fillId="0" borderId="0" xfId="0" applyFont="1"/>
    <xf numFmtId="0" fontId="25" fillId="0" borderId="5" xfId="0" applyFont="1" applyBorder="1" applyAlignment="1">
      <alignment horizontal="center"/>
    </xf>
    <xf numFmtId="20" fontId="25" fillId="0" borderId="5" xfId="0" applyNumberFormat="1" applyFont="1" applyBorder="1" applyAlignment="1">
      <alignment horizontal="center"/>
    </xf>
    <xf numFmtId="14" fontId="25" fillId="0" borderId="5" xfId="0" applyNumberFormat="1" applyFont="1" applyBorder="1" applyAlignment="1">
      <alignment horizontal="center"/>
    </xf>
    <xf numFmtId="168" fontId="25" fillId="0" borderId="5" xfId="0" applyNumberFormat="1" applyFont="1" applyBorder="1" applyAlignment="1">
      <alignment horizontal="center"/>
    </xf>
    <xf numFmtId="169" fontId="25" fillId="0" borderId="5" xfId="0" applyNumberFormat="1" applyFont="1" applyBorder="1" applyAlignment="1">
      <alignment horizontal="center"/>
    </xf>
    <xf numFmtId="0" fontId="25" fillId="23" borderId="0" xfId="0" applyFont="1" applyFill="1" applyAlignment="1">
      <alignment horizontal="center"/>
    </xf>
    <xf numFmtId="0" fontId="26" fillId="14" borderId="5" xfId="0" applyFont="1" applyFill="1" applyBorder="1" applyAlignment="1">
      <alignment horizontal="center"/>
    </xf>
    <xf numFmtId="20" fontId="26" fillId="14" borderId="5" xfId="0" applyNumberFormat="1" applyFont="1" applyFill="1" applyBorder="1" applyAlignment="1">
      <alignment horizontal="center"/>
    </xf>
    <xf numFmtId="14" fontId="26" fillId="14" borderId="5" xfId="0" applyNumberFormat="1" applyFont="1" applyFill="1" applyBorder="1" applyAlignment="1">
      <alignment horizontal="center"/>
    </xf>
    <xf numFmtId="168" fontId="26" fillId="14" borderId="5" xfId="0" applyNumberFormat="1" applyFont="1" applyFill="1" applyBorder="1" applyAlignment="1">
      <alignment horizontal="center"/>
    </xf>
    <xf numFmtId="169" fontId="26" fillId="14" borderId="5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20" fontId="26" fillId="0" borderId="0" xfId="0" applyNumberFormat="1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25" fillId="26" borderId="8" xfId="0" applyFont="1" applyFill="1" applyBorder="1" applyAlignment="1">
      <alignment horizontal="center" vertical="center"/>
    </xf>
    <xf numFmtId="168" fontId="25" fillId="26" borderId="8" xfId="0" applyNumberFormat="1" applyFont="1" applyFill="1" applyBorder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27" fillId="27" borderId="0" xfId="0" applyFont="1" applyFill="1" applyAlignment="1">
      <alignment horizontal="center"/>
    </xf>
    <xf numFmtId="14" fontId="26" fillId="0" borderId="0" xfId="0" applyNumberFormat="1" applyFont="1"/>
    <xf numFmtId="0" fontId="26" fillId="0" borderId="1" xfId="0" applyFont="1" applyBorder="1" applyAlignment="1">
      <alignment horizontal="center"/>
    </xf>
    <xf numFmtId="2" fontId="26" fillId="0" borderId="1" xfId="0" applyNumberFormat="1" applyFont="1" applyBorder="1" applyAlignment="1">
      <alignment horizontal="center"/>
    </xf>
    <xf numFmtId="0" fontId="27" fillId="8" borderId="0" xfId="0" applyFont="1" applyFill="1" applyAlignment="1">
      <alignment horizontal="center"/>
    </xf>
    <xf numFmtId="168" fontId="26" fillId="0" borderId="0" xfId="0" applyNumberFormat="1" applyFont="1"/>
    <xf numFmtId="0" fontId="0" fillId="28" borderId="0" xfId="0" applyFill="1"/>
    <xf numFmtId="0" fontId="25" fillId="0" borderId="0" xfId="0" applyFont="1" applyAlignment="1">
      <alignment horizontal="center"/>
    </xf>
    <xf numFmtId="0" fontId="29" fillId="0" borderId="5" xfId="0" applyFont="1" applyBorder="1" applyAlignment="1">
      <alignment horizontal="center"/>
    </xf>
    <xf numFmtId="0" fontId="30" fillId="14" borderId="5" xfId="0" applyFont="1" applyFill="1" applyBorder="1" applyAlignment="1">
      <alignment horizontal="center"/>
    </xf>
    <xf numFmtId="0" fontId="25" fillId="14" borderId="5" xfId="0" applyFont="1" applyFill="1" applyBorder="1" applyAlignment="1">
      <alignment horizontal="center"/>
    </xf>
    <xf numFmtId="169" fontId="25" fillId="14" borderId="5" xfId="0" applyNumberFormat="1" applyFont="1" applyFill="1" applyBorder="1" applyAlignment="1">
      <alignment horizontal="center"/>
    </xf>
    <xf numFmtId="0" fontId="26" fillId="17" borderId="5" xfId="0" applyFont="1" applyFill="1" applyBorder="1" applyAlignment="1">
      <alignment horizontal="center"/>
    </xf>
    <xf numFmtId="0" fontId="30" fillId="4" borderId="5" xfId="0" applyFont="1" applyFill="1" applyBorder="1" applyAlignment="1">
      <alignment horizontal="center"/>
    </xf>
    <xf numFmtId="20" fontId="26" fillId="4" borderId="5" xfId="0" applyNumberFormat="1" applyFont="1" applyFill="1" applyBorder="1" applyAlignment="1">
      <alignment horizontal="center"/>
    </xf>
    <xf numFmtId="14" fontId="26" fillId="4" borderId="5" xfId="0" applyNumberFormat="1" applyFont="1" applyFill="1" applyBorder="1" applyAlignment="1">
      <alignment horizontal="center"/>
    </xf>
    <xf numFmtId="0" fontId="26" fillId="4" borderId="5" xfId="0" applyFont="1" applyFill="1" applyBorder="1" applyAlignment="1">
      <alignment horizontal="center"/>
    </xf>
    <xf numFmtId="168" fontId="26" fillId="4" borderId="5" xfId="0" applyNumberFormat="1" applyFont="1" applyFill="1" applyBorder="1" applyAlignment="1">
      <alignment horizontal="center"/>
    </xf>
    <xf numFmtId="169" fontId="26" fillId="4" borderId="5" xfId="0" applyNumberFormat="1" applyFont="1" applyFill="1" applyBorder="1" applyAlignment="1">
      <alignment horizontal="center"/>
    </xf>
    <xf numFmtId="0" fontId="31" fillId="27" borderId="0" xfId="0" applyFont="1" applyFill="1"/>
    <xf numFmtId="168" fontId="26" fillId="0" borderId="5" xfId="0" applyNumberFormat="1" applyFont="1" applyBorder="1" applyAlignment="1">
      <alignment horizontal="center"/>
    </xf>
    <xf numFmtId="168" fontId="26" fillId="0" borderId="0" xfId="0" applyNumberFormat="1" applyFont="1" applyAlignment="1">
      <alignment horizontal="center"/>
    </xf>
    <xf numFmtId="0" fontId="31" fillId="29" borderId="0" xfId="0" applyFont="1" applyFill="1"/>
    <xf numFmtId="0" fontId="25" fillId="0" borderId="5" xfId="0" applyFont="1" applyBorder="1" applyAlignment="1">
      <alignment horizontal="center" vertical="center"/>
    </xf>
    <xf numFmtId="20" fontId="25" fillId="0" borderId="5" xfId="0" applyNumberFormat="1" applyFont="1" applyBorder="1" applyAlignment="1">
      <alignment horizontal="center" vertical="center"/>
    </xf>
    <xf numFmtId="14" fontId="25" fillId="0" borderId="28" xfId="0" applyNumberFormat="1" applyFont="1" applyBorder="1" applyAlignment="1">
      <alignment horizontal="center" vertical="center"/>
    </xf>
    <xf numFmtId="168" fontId="25" fillId="0" borderId="5" xfId="0" applyNumberFormat="1" applyFont="1" applyBorder="1" applyAlignment="1">
      <alignment horizontal="center" vertical="center"/>
    </xf>
    <xf numFmtId="169" fontId="25" fillId="0" borderId="5" xfId="0" applyNumberFormat="1" applyFont="1" applyBorder="1" applyAlignment="1">
      <alignment horizontal="center" vertical="center"/>
    </xf>
    <xf numFmtId="0" fontId="25" fillId="23" borderId="5" xfId="0" applyFont="1" applyFill="1" applyBorder="1" applyAlignment="1">
      <alignment horizontal="center"/>
    </xf>
    <xf numFmtId="0" fontId="26" fillId="14" borderId="5" xfId="0" applyFont="1" applyFill="1" applyBorder="1" applyAlignment="1">
      <alignment horizontal="center" vertical="center"/>
    </xf>
    <xf numFmtId="20" fontId="26" fillId="14" borderId="5" xfId="0" applyNumberFormat="1" applyFont="1" applyFill="1" applyBorder="1" applyAlignment="1">
      <alignment horizontal="center" vertical="center"/>
    </xf>
    <xf numFmtId="14" fontId="26" fillId="14" borderId="28" xfId="0" applyNumberFormat="1" applyFont="1" applyFill="1" applyBorder="1" applyAlignment="1">
      <alignment horizontal="center" vertical="center"/>
    </xf>
    <xf numFmtId="168" fontId="26" fillId="14" borderId="5" xfId="0" applyNumberFormat="1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center" vertical="center"/>
    </xf>
    <xf numFmtId="169" fontId="25" fillId="14" borderId="5" xfId="0" applyNumberFormat="1" applyFont="1" applyFill="1" applyBorder="1" applyAlignment="1">
      <alignment horizontal="center" vertical="center"/>
    </xf>
    <xf numFmtId="20" fontId="29" fillId="0" borderId="5" xfId="0" applyNumberFormat="1" applyFont="1" applyBorder="1" applyAlignment="1">
      <alignment horizontal="center"/>
    </xf>
    <xf numFmtId="0" fontId="25" fillId="30" borderId="0" xfId="0" applyFont="1" applyFill="1" applyAlignment="1">
      <alignment horizontal="center"/>
    </xf>
    <xf numFmtId="20" fontId="30" fillId="14" borderId="5" xfId="0" applyNumberFormat="1" applyFont="1" applyFill="1" applyBorder="1" applyAlignment="1">
      <alignment horizontal="center"/>
    </xf>
    <xf numFmtId="0" fontId="25" fillId="25" borderId="8" xfId="0" applyFont="1" applyFill="1" applyBorder="1" applyAlignment="1">
      <alignment horizontal="center"/>
    </xf>
    <xf numFmtId="168" fontId="25" fillId="25" borderId="8" xfId="0" applyNumberFormat="1" applyFont="1" applyFill="1" applyBorder="1" applyAlignment="1">
      <alignment horizontal="center"/>
    </xf>
    <xf numFmtId="169" fontId="29" fillId="14" borderId="5" xfId="0" applyNumberFormat="1" applyFont="1" applyFill="1" applyBorder="1" applyAlignment="1">
      <alignment horizontal="center"/>
    </xf>
    <xf numFmtId="169" fontId="29" fillId="0" borderId="5" xfId="0" applyNumberFormat="1" applyFont="1" applyBorder="1" applyAlignment="1">
      <alignment horizontal="center"/>
    </xf>
    <xf numFmtId="20" fontId="30" fillId="4" borderId="5" xfId="0" applyNumberFormat="1" applyFont="1" applyFill="1" applyBorder="1" applyAlignment="1">
      <alignment horizontal="center"/>
    </xf>
    <xf numFmtId="16" fontId="26" fillId="4" borderId="5" xfId="0" applyNumberFormat="1" applyFont="1" applyFill="1" applyBorder="1" applyAlignment="1">
      <alignment horizontal="center"/>
    </xf>
    <xf numFmtId="167" fontId="26" fillId="4" borderId="5" xfId="0" applyNumberFormat="1" applyFont="1" applyFill="1" applyBorder="1" applyAlignment="1">
      <alignment horizontal="center"/>
    </xf>
    <xf numFmtId="168" fontId="30" fillId="4" borderId="5" xfId="0" applyNumberFormat="1" applyFont="1" applyFill="1" applyBorder="1" applyAlignment="1">
      <alignment horizontal="center"/>
    </xf>
    <xf numFmtId="169" fontId="30" fillId="4" borderId="5" xfId="0" applyNumberFormat="1" applyFont="1" applyFill="1" applyBorder="1" applyAlignment="1">
      <alignment horizontal="center"/>
    </xf>
    <xf numFmtId="167" fontId="26" fillId="14" borderId="5" xfId="0" applyNumberFormat="1" applyFont="1" applyFill="1" applyBorder="1" applyAlignment="1">
      <alignment horizontal="center"/>
    </xf>
    <xf numFmtId="168" fontId="30" fillId="14" borderId="5" xfId="0" applyNumberFormat="1" applyFont="1" applyFill="1" applyBorder="1" applyAlignment="1">
      <alignment horizontal="center"/>
    </xf>
    <xf numFmtId="169" fontId="30" fillId="14" borderId="5" xfId="0" applyNumberFormat="1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16" fontId="26" fillId="14" borderId="5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20" fontId="30" fillId="0" borderId="0" xfId="0" applyNumberFormat="1" applyFont="1" applyAlignment="1">
      <alignment horizontal="center"/>
    </xf>
    <xf numFmtId="167" fontId="25" fillId="26" borderId="8" xfId="0" applyNumberFormat="1" applyFont="1" applyFill="1" applyBorder="1" applyAlignment="1">
      <alignment horizontal="center" vertical="center"/>
    </xf>
    <xf numFmtId="169" fontId="30" fillId="0" borderId="0" xfId="0" applyNumberFormat="1" applyFont="1" applyAlignment="1">
      <alignment horizontal="center"/>
    </xf>
    <xf numFmtId="168" fontId="25" fillId="14" borderId="5" xfId="0" applyNumberFormat="1" applyFont="1" applyFill="1" applyBorder="1" applyAlignment="1">
      <alignment horizontal="center"/>
    </xf>
    <xf numFmtId="167" fontId="25" fillId="0" borderId="5" xfId="0" applyNumberFormat="1" applyFont="1" applyBorder="1" applyAlignment="1">
      <alignment horizontal="center"/>
    </xf>
    <xf numFmtId="170" fontId="26" fillId="0" borderId="0" xfId="0" applyNumberFormat="1" applyFont="1"/>
    <xf numFmtId="2" fontId="26" fillId="0" borderId="0" xfId="0" applyNumberFormat="1" applyFont="1"/>
    <xf numFmtId="164" fontId="4" fillId="14" borderId="5" xfId="0" applyNumberFormat="1" applyFont="1" applyFill="1" applyBorder="1" applyAlignment="1">
      <alignment horizontal="center" vertical="center"/>
    </xf>
    <xf numFmtId="165" fontId="4" fillId="14" borderId="5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2" fontId="25" fillId="0" borderId="5" xfId="0" applyNumberFormat="1" applyFont="1" applyBorder="1" applyAlignment="1">
      <alignment horizontal="center"/>
    </xf>
    <xf numFmtId="0" fontId="29" fillId="23" borderId="5" xfId="0" applyFont="1" applyFill="1" applyBorder="1" applyAlignment="1">
      <alignment horizontal="center"/>
    </xf>
    <xf numFmtId="2" fontId="26" fillId="14" borderId="5" xfId="0" applyNumberFormat="1" applyFont="1" applyFill="1" applyBorder="1" applyAlignment="1">
      <alignment horizontal="center"/>
    </xf>
    <xf numFmtId="2" fontId="26" fillId="4" borderId="5" xfId="0" applyNumberFormat="1" applyFont="1" applyFill="1" applyBorder="1" applyAlignment="1">
      <alignment horizontal="center"/>
    </xf>
    <xf numFmtId="14" fontId="29" fillId="0" borderId="5" xfId="0" applyNumberFormat="1" applyFont="1" applyBorder="1" applyAlignment="1">
      <alignment horizontal="center"/>
    </xf>
    <xf numFmtId="168" fontId="29" fillId="0" borderId="5" xfId="0" applyNumberFormat="1" applyFont="1" applyBorder="1" applyAlignment="1">
      <alignment horizontal="center"/>
    </xf>
    <xf numFmtId="0" fontId="29" fillId="30" borderId="0" xfId="0" applyFont="1" applyFill="1" applyAlignment="1">
      <alignment horizontal="center"/>
    </xf>
    <xf numFmtId="14" fontId="30" fillId="14" borderId="5" xfId="0" applyNumberFormat="1" applyFont="1" applyFill="1" applyBorder="1" applyAlignment="1">
      <alignment horizontal="center"/>
    </xf>
    <xf numFmtId="2" fontId="25" fillId="14" borderId="5" xfId="0" applyNumberFormat="1" applyFont="1" applyFill="1" applyBorder="1" applyAlignment="1">
      <alignment horizontal="center"/>
    </xf>
    <xf numFmtId="0" fontId="30" fillId="17" borderId="5" xfId="0" applyFont="1" applyFill="1" applyBorder="1" applyAlignment="1">
      <alignment horizontal="center"/>
    </xf>
    <xf numFmtId="14" fontId="30" fillId="0" borderId="0" xfId="0" applyNumberFormat="1" applyFont="1" applyAlignment="1">
      <alignment horizontal="center"/>
    </xf>
    <xf numFmtId="0" fontId="29" fillId="26" borderId="8" xfId="0" applyFont="1" applyFill="1" applyBorder="1" applyAlignment="1">
      <alignment horizontal="center" vertical="center"/>
    </xf>
    <xf numFmtId="168" fontId="29" fillId="26" borderId="8" xfId="0" applyNumberFormat="1" applyFont="1" applyFill="1" applyBorder="1" applyAlignment="1">
      <alignment horizontal="center" vertical="center"/>
    </xf>
    <xf numFmtId="0" fontId="25" fillId="0" borderId="29" xfId="0" applyFont="1" applyBorder="1" applyAlignment="1">
      <alignment horizontal="center"/>
    </xf>
    <xf numFmtId="2" fontId="25" fillId="0" borderId="29" xfId="0" applyNumberFormat="1" applyFont="1" applyBorder="1" applyAlignment="1">
      <alignment horizontal="center"/>
    </xf>
    <xf numFmtId="0" fontId="25" fillId="14" borderId="29" xfId="0" applyFont="1" applyFill="1" applyBorder="1" applyAlignment="1">
      <alignment horizontal="center"/>
    </xf>
    <xf numFmtId="2" fontId="25" fillId="14" borderId="29" xfId="0" applyNumberFormat="1" applyFont="1" applyFill="1" applyBorder="1" applyAlignment="1">
      <alignment horizontal="center"/>
    </xf>
    <xf numFmtId="0" fontId="26" fillId="0" borderId="5" xfId="0" applyFont="1" applyBorder="1" applyAlignment="1">
      <alignment horizontal="center"/>
    </xf>
    <xf numFmtId="20" fontId="26" fillId="0" borderId="5" xfId="0" applyNumberFormat="1" applyFont="1" applyBorder="1" applyAlignment="1">
      <alignment horizontal="center"/>
    </xf>
    <xf numFmtId="14" fontId="26" fillId="0" borderId="5" xfId="0" applyNumberFormat="1" applyFont="1" applyBorder="1" applyAlignment="1">
      <alignment horizontal="center"/>
    </xf>
    <xf numFmtId="2" fontId="25" fillId="0" borderId="0" xfId="0" applyNumberFormat="1" applyFont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26" fillId="31" borderId="5" xfId="0" applyFont="1" applyFill="1" applyBorder="1" applyAlignment="1">
      <alignment horizontal="center"/>
    </xf>
    <xf numFmtId="20" fontId="26" fillId="31" borderId="5" xfId="0" applyNumberFormat="1" applyFont="1" applyFill="1" applyBorder="1" applyAlignment="1">
      <alignment horizontal="center"/>
    </xf>
    <xf numFmtId="14" fontId="26" fillId="31" borderId="5" xfId="0" applyNumberFormat="1" applyFont="1" applyFill="1" applyBorder="1" applyAlignment="1">
      <alignment horizontal="center"/>
    </xf>
    <xf numFmtId="168" fontId="26" fillId="31" borderId="5" xfId="0" applyNumberFormat="1" applyFont="1" applyFill="1" applyBorder="1" applyAlignment="1">
      <alignment horizontal="center"/>
    </xf>
    <xf numFmtId="2" fontId="26" fillId="31" borderId="5" xfId="0" applyNumberFormat="1" applyFont="1" applyFill="1" applyBorder="1" applyAlignment="1">
      <alignment horizontal="center"/>
    </xf>
    <xf numFmtId="168" fontId="32" fillId="14" borderId="5" xfId="0" applyNumberFormat="1" applyFont="1" applyFill="1" applyBorder="1" applyAlignment="1">
      <alignment horizontal="center"/>
    </xf>
    <xf numFmtId="0" fontId="25" fillId="6" borderId="8" xfId="0" applyFont="1" applyFill="1" applyBorder="1" applyAlignment="1">
      <alignment horizontal="center" vertical="center"/>
    </xf>
    <xf numFmtId="168" fontId="25" fillId="6" borderId="8" xfId="0" applyNumberFormat="1" applyFont="1" applyFill="1" applyBorder="1" applyAlignment="1">
      <alignment horizontal="center" vertical="center"/>
    </xf>
    <xf numFmtId="0" fontId="26" fillId="0" borderId="0" xfId="0" applyFont="1" applyFill="1"/>
    <xf numFmtId="0" fontId="25" fillId="4" borderId="5" xfId="0" applyFont="1" applyFill="1" applyBorder="1" applyAlignment="1">
      <alignment horizontal="center"/>
    </xf>
    <xf numFmtId="2" fontId="25" fillId="4" borderId="5" xfId="0" applyNumberFormat="1" applyFont="1" applyFill="1" applyBorder="1" applyAlignment="1">
      <alignment horizontal="center"/>
    </xf>
    <xf numFmtId="167" fontId="26" fillId="4" borderId="31" xfId="0" applyNumberFormat="1" applyFont="1" applyFill="1" applyBorder="1" applyAlignment="1">
      <alignment horizontal="center"/>
    </xf>
    <xf numFmtId="167" fontId="26" fillId="14" borderId="31" xfId="0" applyNumberFormat="1" applyFont="1" applyFill="1" applyBorder="1" applyAlignment="1">
      <alignment horizontal="center"/>
    </xf>
    <xf numFmtId="168" fontId="25" fillId="4" borderId="5" xfId="0" applyNumberFormat="1" applyFont="1" applyFill="1" applyBorder="1" applyAlignment="1">
      <alignment horizontal="center"/>
    </xf>
    <xf numFmtId="0" fontId="29" fillId="16" borderId="5" xfId="0" applyFont="1" applyFill="1" applyBorder="1" applyAlignment="1">
      <alignment horizontal="center"/>
    </xf>
    <xf numFmtId="0" fontId="28" fillId="32" borderId="15" xfId="0" applyFont="1" applyFill="1" applyBorder="1" applyAlignment="1">
      <alignment horizontal="center" vertical="center"/>
    </xf>
    <xf numFmtId="14" fontId="28" fillId="32" borderId="15" xfId="0" applyNumberFormat="1" applyFont="1" applyFill="1" applyBorder="1" applyAlignment="1">
      <alignment horizontal="center" vertical="center"/>
    </xf>
    <xf numFmtId="168" fontId="28" fillId="32" borderId="15" xfId="0" applyNumberFormat="1" applyFont="1" applyFill="1" applyBorder="1" applyAlignment="1">
      <alignment horizontal="center" vertical="center"/>
    </xf>
    <xf numFmtId="167" fontId="26" fillId="0" borderId="5" xfId="0" applyNumberFormat="1" applyFont="1" applyBorder="1" applyAlignment="1">
      <alignment horizontal="center"/>
    </xf>
    <xf numFmtId="169" fontId="30" fillId="0" borderId="5" xfId="0" applyNumberFormat="1" applyFont="1" applyBorder="1" applyAlignment="1">
      <alignment horizontal="center"/>
    </xf>
    <xf numFmtId="0" fontId="25" fillId="23" borderId="9" xfId="0" applyFont="1" applyFill="1" applyBorder="1" applyAlignment="1">
      <alignment horizontal="centerContinuous" vertical="center"/>
    </xf>
    <xf numFmtId="0" fontId="25" fillId="23" borderId="10" xfId="0" applyFont="1" applyFill="1" applyBorder="1" applyAlignment="1">
      <alignment horizontal="centerContinuous" vertical="center"/>
    </xf>
    <xf numFmtId="0" fontId="25" fillId="23" borderId="25" xfId="0" applyFont="1" applyFill="1" applyBorder="1" applyAlignment="1">
      <alignment horizontal="centerContinuous" vertical="center"/>
    </xf>
    <xf numFmtId="0" fontId="25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35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/>
    </xf>
    <xf numFmtId="171" fontId="30" fillId="0" borderId="32" xfId="0" applyNumberFormat="1" applyFont="1" applyBorder="1" applyAlignment="1">
      <alignment horizontal="center"/>
    </xf>
    <xf numFmtId="166" fontId="30" fillId="0" borderId="34" xfId="0" applyNumberFormat="1" applyFont="1" applyBorder="1" applyAlignment="1">
      <alignment horizontal="center"/>
    </xf>
    <xf numFmtId="167" fontId="30" fillId="0" borderId="35" xfId="0" applyNumberFormat="1" applyFont="1" applyBorder="1" applyAlignment="1">
      <alignment horizontal="center"/>
    </xf>
    <xf numFmtId="169" fontId="29" fillId="0" borderId="34" xfId="0" applyNumberFormat="1" applyFont="1" applyBorder="1" applyAlignment="1">
      <alignment horizontal="center"/>
    </xf>
    <xf numFmtId="172" fontId="29" fillId="0" borderId="34" xfId="0" applyNumberFormat="1" applyFont="1" applyBorder="1" applyAlignment="1">
      <alignment horizontal="center"/>
    </xf>
    <xf numFmtId="169" fontId="30" fillId="0" borderId="35" xfId="0" applyNumberFormat="1" applyFont="1" applyBorder="1" applyAlignment="1">
      <alignment horizontal="center"/>
    </xf>
    <xf numFmtId="172" fontId="30" fillId="0" borderId="34" xfId="0" applyNumberFormat="1" applyFont="1" applyBorder="1" applyAlignment="1">
      <alignment horizontal="center"/>
    </xf>
    <xf numFmtId="0" fontId="25" fillId="0" borderId="34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/>
    </xf>
    <xf numFmtId="166" fontId="30" fillId="0" borderId="36" xfId="0" applyNumberFormat="1" applyFont="1" applyBorder="1" applyAlignment="1">
      <alignment horizontal="center"/>
    </xf>
    <xf numFmtId="167" fontId="30" fillId="0" borderId="37" xfId="0" applyNumberFormat="1" applyFont="1" applyBorder="1" applyAlignment="1">
      <alignment horizontal="center"/>
    </xf>
    <xf numFmtId="172" fontId="29" fillId="0" borderId="38" xfId="0" applyNumberFormat="1" applyFont="1" applyBorder="1" applyAlignment="1">
      <alignment horizontal="center"/>
    </xf>
    <xf numFmtId="2" fontId="30" fillId="0" borderId="32" xfId="0" applyNumberFormat="1" applyFont="1" applyBorder="1" applyAlignment="1">
      <alignment horizontal="center"/>
    </xf>
    <xf numFmtId="172" fontId="30" fillId="0" borderId="38" xfId="0" applyNumberFormat="1" applyFont="1" applyBorder="1" applyAlignment="1">
      <alignment horizontal="center"/>
    </xf>
    <xf numFmtId="2" fontId="25" fillId="0" borderId="38" xfId="0" applyNumberFormat="1" applyFont="1" applyBorder="1" applyAlignment="1">
      <alignment horizontal="center"/>
    </xf>
    <xf numFmtId="0" fontId="30" fillId="0" borderId="32" xfId="0" applyFont="1" applyBorder="1" applyAlignment="1">
      <alignment horizontal="center" vertical="center"/>
    </xf>
    <xf numFmtId="0" fontId="29" fillId="29" borderId="32" xfId="0" applyFont="1" applyFill="1" applyBorder="1" applyAlignment="1">
      <alignment horizontal="center"/>
    </xf>
    <xf numFmtId="171" fontId="30" fillId="29" borderId="32" xfId="0" applyNumberFormat="1" applyFont="1" applyFill="1" applyBorder="1" applyAlignment="1">
      <alignment horizontal="center"/>
    </xf>
    <xf numFmtId="166" fontId="30" fillId="29" borderId="38" xfId="0" applyNumberFormat="1" applyFont="1" applyFill="1" applyBorder="1" applyAlignment="1">
      <alignment horizontal="center"/>
    </xf>
    <xf numFmtId="167" fontId="30" fillId="29" borderId="37" xfId="0" applyNumberFormat="1" applyFont="1" applyFill="1" applyBorder="1" applyAlignment="1">
      <alignment horizontal="center"/>
    </xf>
    <xf numFmtId="172" fontId="29" fillId="29" borderId="38" xfId="0" applyNumberFormat="1" applyFont="1" applyFill="1" applyBorder="1" applyAlignment="1">
      <alignment horizontal="center"/>
    </xf>
    <xf numFmtId="2" fontId="30" fillId="29" borderId="32" xfId="0" applyNumberFormat="1" applyFont="1" applyFill="1" applyBorder="1" applyAlignment="1">
      <alignment horizontal="center"/>
    </xf>
    <xf numFmtId="172" fontId="30" fillId="29" borderId="38" xfId="0" applyNumberFormat="1" applyFont="1" applyFill="1" applyBorder="1" applyAlignment="1">
      <alignment horizontal="center"/>
    </xf>
    <xf numFmtId="2" fontId="25" fillId="29" borderId="38" xfId="0" applyNumberFormat="1" applyFont="1" applyFill="1" applyBorder="1" applyAlignment="1">
      <alignment horizontal="center"/>
    </xf>
    <xf numFmtId="166" fontId="30" fillId="0" borderId="38" xfId="0" applyNumberFormat="1" applyFont="1" applyBorder="1" applyAlignment="1">
      <alignment horizontal="center"/>
    </xf>
    <xf numFmtId="0" fontId="29" fillId="22" borderId="32" xfId="0" applyFont="1" applyFill="1" applyBorder="1" applyAlignment="1">
      <alignment horizontal="center"/>
    </xf>
    <xf numFmtId="171" fontId="30" fillId="22" borderId="32" xfId="0" applyNumberFormat="1" applyFont="1" applyFill="1" applyBorder="1" applyAlignment="1">
      <alignment horizontal="center"/>
    </xf>
    <xf numFmtId="166" fontId="30" fillId="22" borderId="38" xfId="0" applyNumberFormat="1" applyFont="1" applyFill="1" applyBorder="1" applyAlignment="1">
      <alignment horizontal="center"/>
    </xf>
    <xf numFmtId="167" fontId="30" fillId="22" borderId="37" xfId="0" applyNumberFormat="1" applyFont="1" applyFill="1" applyBorder="1" applyAlignment="1">
      <alignment horizontal="center"/>
    </xf>
    <xf numFmtId="172" fontId="29" fillId="22" borderId="38" xfId="0" applyNumberFormat="1" applyFont="1" applyFill="1" applyBorder="1" applyAlignment="1">
      <alignment horizontal="center"/>
    </xf>
    <xf numFmtId="2" fontId="30" fillId="22" borderId="32" xfId="0" applyNumberFormat="1" applyFont="1" applyFill="1" applyBorder="1" applyAlignment="1">
      <alignment horizontal="center"/>
    </xf>
    <xf numFmtId="172" fontId="30" fillId="22" borderId="38" xfId="0" applyNumberFormat="1" applyFont="1" applyFill="1" applyBorder="1" applyAlignment="1">
      <alignment horizontal="center"/>
    </xf>
    <xf numFmtId="2" fontId="36" fillId="22" borderId="38" xfId="0" applyNumberFormat="1" applyFont="1" applyFill="1" applyBorder="1" applyAlignment="1">
      <alignment horizontal="center"/>
    </xf>
    <xf numFmtId="169" fontId="29" fillId="0" borderId="38" xfId="0" applyNumberFormat="1" applyFont="1" applyBorder="1" applyAlignment="1">
      <alignment horizontal="center"/>
    </xf>
    <xf numFmtId="0" fontId="37" fillId="0" borderId="32" xfId="0" applyFont="1" applyBorder="1" applyAlignment="1">
      <alignment horizontal="center" vertical="center"/>
    </xf>
    <xf numFmtId="2" fontId="36" fillId="0" borderId="38" xfId="0" applyNumberFormat="1" applyFont="1" applyBorder="1" applyAlignment="1">
      <alignment horizontal="center"/>
    </xf>
    <xf numFmtId="0" fontId="25" fillId="0" borderId="3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2" fontId="36" fillId="29" borderId="38" xfId="0" applyNumberFormat="1" applyFont="1" applyFill="1" applyBorder="1" applyAlignment="1">
      <alignment horizontal="center"/>
    </xf>
    <xf numFmtId="169" fontId="29" fillId="29" borderId="38" xfId="0" applyNumberFormat="1" applyFont="1" applyFill="1" applyBorder="1" applyAlignment="1">
      <alignment horizontal="center"/>
    </xf>
    <xf numFmtId="0" fontId="26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166" fontId="30" fillId="0" borderId="38" xfId="0" applyNumberFormat="1" applyFont="1" applyBorder="1" applyAlignment="1">
      <alignment horizontal="center" vertical="center"/>
    </xf>
    <xf numFmtId="173" fontId="30" fillId="0" borderId="40" xfId="0" applyNumberFormat="1" applyFont="1" applyBorder="1" applyAlignment="1">
      <alignment horizontal="center" vertical="center"/>
    </xf>
    <xf numFmtId="169" fontId="29" fillId="0" borderId="41" xfId="0" applyNumberFormat="1" applyFont="1" applyBorder="1" applyAlignment="1">
      <alignment horizontal="center" vertical="center"/>
    </xf>
    <xf numFmtId="169" fontId="30" fillId="0" borderId="40" xfId="0" applyNumberFormat="1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2" fontId="25" fillId="0" borderId="41" xfId="0" applyNumberFormat="1" applyFont="1" applyBorder="1" applyAlignment="1">
      <alignment horizontal="center" vertical="center"/>
    </xf>
    <xf numFmtId="165" fontId="25" fillId="5" borderId="2" xfId="0" applyNumberFormat="1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Continuous" vertical="center"/>
    </xf>
    <xf numFmtId="0" fontId="26" fillId="0" borderId="25" xfId="0" applyFont="1" applyBorder="1" applyAlignment="1">
      <alignment horizontal="centerContinuous" vertical="center"/>
    </xf>
    <xf numFmtId="166" fontId="26" fillId="0" borderId="0" xfId="0" applyNumberFormat="1" applyFont="1" applyAlignment="1">
      <alignment horizontal="center"/>
    </xf>
    <xf numFmtId="165" fontId="25" fillId="23" borderId="2" xfId="0" applyNumberFormat="1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Continuous" vertical="center"/>
    </xf>
    <xf numFmtId="0" fontId="25" fillId="0" borderId="25" xfId="0" applyFont="1" applyBorder="1" applyAlignment="1">
      <alignment horizontal="centerContinuous" vertical="center"/>
    </xf>
    <xf numFmtId="165" fontId="26" fillId="0" borderId="0" xfId="0" applyNumberFormat="1" applyFont="1" applyAlignment="1">
      <alignment horizontal="center"/>
    </xf>
    <xf numFmtId="0" fontId="40" fillId="11" borderId="0" xfId="1" applyFont="1" applyFill="1"/>
    <xf numFmtId="0" fontId="26" fillId="11" borderId="0" xfId="1" applyFont="1" applyFill="1" applyAlignment="1">
      <alignment vertical="center"/>
    </xf>
    <xf numFmtId="0" fontId="0" fillId="11" borderId="0" xfId="0" applyFill="1"/>
    <xf numFmtId="0" fontId="29" fillId="5" borderId="5" xfId="0" applyFont="1" applyFill="1" applyBorder="1" applyAlignment="1">
      <alignment horizontal="center" vertical="center"/>
    </xf>
    <xf numFmtId="166" fontId="26" fillId="33" borderId="1" xfId="1" applyNumberFormat="1" applyFont="1" applyFill="1" applyBorder="1" applyAlignment="1">
      <alignment horizontal="center" vertical="center"/>
    </xf>
    <xf numFmtId="166" fontId="25" fillId="33" borderId="1" xfId="1" applyNumberFormat="1" applyFont="1" applyFill="1" applyBorder="1" applyAlignment="1">
      <alignment horizontal="center" vertical="center"/>
    </xf>
    <xf numFmtId="0" fontId="15" fillId="0" borderId="0" xfId="2" applyFont="1" applyAlignment="1">
      <alignment horizontal="center"/>
    </xf>
    <xf numFmtId="164" fontId="15" fillId="0" borderId="0" xfId="2" applyNumberFormat="1" applyFont="1" applyAlignment="1">
      <alignment horizontal="center"/>
    </xf>
    <xf numFmtId="174" fontId="15" fillId="0" borderId="0" xfId="2" applyNumberFormat="1" applyFont="1" applyAlignment="1">
      <alignment horizontal="center"/>
    </xf>
    <xf numFmtId="1" fontId="15" fillId="0" borderId="0" xfId="2" applyNumberFormat="1" applyFont="1" applyAlignment="1">
      <alignment horizontal="center"/>
    </xf>
    <xf numFmtId="2" fontId="15" fillId="0" borderId="0" xfId="2" applyNumberFormat="1" applyFont="1" applyAlignment="1">
      <alignment horizontal="center"/>
    </xf>
    <xf numFmtId="0" fontId="15" fillId="0" borderId="0" xfId="2" applyFont="1" applyAlignment="1">
      <alignment horizontal="center" shrinkToFit="1"/>
    </xf>
    <xf numFmtId="0" fontId="14" fillId="0" borderId="0" xfId="2"/>
    <xf numFmtId="0" fontId="15" fillId="0" borderId="0" xfId="2" applyFont="1"/>
    <xf numFmtId="164" fontId="15" fillId="0" borderId="0" xfId="2" applyNumberFormat="1" applyFont="1"/>
    <xf numFmtId="174" fontId="15" fillId="0" borderId="0" xfId="2" applyNumberFormat="1" applyFont="1"/>
    <xf numFmtId="0" fontId="16" fillId="0" borderId="0" xfId="2" applyFont="1" applyAlignment="1">
      <alignment horizontal="left"/>
    </xf>
    <xf numFmtId="0" fontId="15" fillId="0" borderId="0" xfId="2" applyFont="1" applyAlignment="1">
      <alignment horizontal="left" vertical="center"/>
    </xf>
    <xf numFmtId="0" fontId="41" fillId="34" borderId="1" xfId="2" applyFont="1" applyFill="1" applyBorder="1" applyAlignment="1">
      <alignment horizontal="center" vertical="center"/>
    </xf>
    <xf numFmtId="0" fontId="41" fillId="34" borderId="2" xfId="2" applyFont="1" applyFill="1" applyBorder="1" applyAlignment="1">
      <alignment horizontal="center" vertical="center"/>
    </xf>
    <xf numFmtId="0" fontId="41" fillId="34" borderId="15" xfId="2" applyFont="1" applyFill="1" applyBorder="1" applyAlignment="1">
      <alignment horizontal="center" vertical="center"/>
    </xf>
    <xf numFmtId="1" fontId="41" fillId="34" borderId="15" xfId="2" applyNumberFormat="1" applyFont="1" applyFill="1" applyBorder="1" applyAlignment="1">
      <alignment horizontal="center" vertical="center"/>
    </xf>
    <xf numFmtId="2" fontId="42" fillId="34" borderId="11" xfId="2" applyNumberFormat="1" applyFont="1" applyFill="1" applyBorder="1" applyAlignment="1">
      <alignment horizontal="center" vertical="center"/>
    </xf>
    <xf numFmtId="0" fontId="41" fillId="34" borderId="5" xfId="2" applyFont="1" applyFill="1" applyBorder="1" applyAlignment="1">
      <alignment horizontal="center" vertical="center"/>
    </xf>
    <xf numFmtId="0" fontId="41" fillId="34" borderId="15" xfId="2" applyFont="1" applyFill="1" applyBorder="1" applyAlignment="1">
      <alignment horizontal="center" vertical="center" shrinkToFit="1"/>
    </xf>
    <xf numFmtId="0" fontId="41" fillId="34" borderId="0" xfId="2" applyFont="1" applyFill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34" borderId="2" xfId="1" applyFont="1" applyFill="1" applyBorder="1" applyAlignment="1">
      <alignment horizontal="center" vertical="center"/>
    </xf>
    <xf numFmtId="0" fontId="42" fillId="2" borderId="0" xfId="2" applyFont="1" applyFill="1" applyAlignment="1">
      <alignment horizontal="center"/>
    </xf>
    <xf numFmtId="0" fontId="41" fillId="34" borderId="11" xfId="2" applyFont="1" applyFill="1" applyBorder="1" applyAlignment="1">
      <alignment horizontal="center" vertical="center"/>
    </xf>
    <xf numFmtId="164" fontId="41" fillId="34" borderId="1" xfId="2" applyNumberFormat="1" applyFont="1" applyFill="1" applyBorder="1" applyAlignment="1">
      <alignment horizontal="center" vertical="center"/>
    </xf>
    <xf numFmtId="174" fontId="41" fillId="34" borderId="1" xfId="2" applyNumberFormat="1" applyFont="1" applyFill="1" applyBorder="1" applyAlignment="1">
      <alignment horizontal="center" vertical="center"/>
    </xf>
    <xf numFmtId="0" fontId="17" fillId="0" borderId="28" xfId="2" applyFont="1" applyBorder="1" applyAlignment="1">
      <alignment horizontal="center"/>
    </xf>
    <xf numFmtId="14" fontId="15" fillId="0" borderId="28" xfId="2" applyNumberFormat="1" applyFont="1" applyBorder="1" applyAlignment="1">
      <alignment horizontal="center"/>
    </xf>
    <xf numFmtId="167" fontId="15" fillId="0" borderId="28" xfId="2" applyNumberFormat="1" applyFont="1" applyBorder="1" applyAlignment="1">
      <alignment horizontal="center"/>
    </xf>
    <xf numFmtId="0" fontId="15" fillId="0" borderId="28" xfId="2" applyFont="1" applyBorder="1" applyAlignment="1">
      <alignment horizontal="center"/>
    </xf>
    <xf numFmtId="0" fontId="15" fillId="0" borderId="42" xfId="2" applyFont="1" applyBorder="1" applyAlignment="1">
      <alignment horizontal="center"/>
    </xf>
    <xf numFmtId="0" fontId="17" fillId="0" borderId="43" xfId="2" applyFont="1" applyBorder="1" applyAlignment="1">
      <alignment horizontal="center"/>
    </xf>
    <xf numFmtId="0" fontId="17" fillId="0" borderId="44" xfId="2" applyFont="1" applyBorder="1" applyAlignment="1">
      <alignment horizontal="center"/>
    </xf>
    <xf numFmtId="14" fontId="15" fillId="0" borderId="44" xfId="2" applyNumberFormat="1" applyFont="1" applyBorder="1" applyAlignment="1">
      <alignment horizontal="center"/>
    </xf>
    <xf numFmtId="167" fontId="15" fillId="0" borderId="44" xfId="2" applyNumberFormat="1" applyFont="1" applyBorder="1" applyAlignment="1">
      <alignment horizontal="center"/>
    </xf>
    <xf numFmtId="0" fontId="15" fillId="0" borderId="44" xfId="2" applyFont="1" applyBorder="1" applyAlignment="1">
      <alignment horizontal="center"/>
    </xf>
    <xf numFmtId="0" fontId="15" fillId="0" borderId="45" xfId="2" applyFont="1" applyBorder="1" applyAlignment="1">
      <alignment horizontal="center"/>
    </xf>
    <xf numFmtId="0" fontId="15" fillId="0" borderId="5" xfId="2" applyFont="1" applyBorder="1" applyAlignment="1">
      <alignment horizontal="center"/>
    </xf>
    <xf numFmtId="0" fontId="17" fillId="0" borderId="5" xfId="2" applyFont="1" applyBorder="1" applyAlignment="1">
      <alignment horizontal="center"/>
    </xf>
    <xf numFmtId="14" fontId="15" fillId="0" borderId="5" xfId="2" applyNumberFormat="1" applyFont="1" applyBorder="1" applyAlignment="1">
      <alignment horizontal="center"/>
    </xf>
    <xf numFmtId="167" fontId="15" fillId="0" borderId="5" xfId="2" applyNumberFormat="1" applyFont="1" applyBorder="1" applyAlignment="1">
      <alignment horizontal="center"/>
    </xf>
    <xf numFmtId="1" fontId="15" fillId="0" borderId="5" xfId="2" applyNumberFormat="1" applyFont="1" applyBorder="1" applyAlignment="1">
      <alignment horizontal="center"/>
    </xf>
    <xf numFmtId="0" fontId="15" fillId="0" borderId="46" xfId="2" applyFont="1" applyBorder="1" applyAlignment="1">
      <alignment horizontal="center"/>
    </xf>
    <xf numFmtId="2" fontId="15" fillId="0" borderId="19" xfId="2" applyNumberFormat="1" applyFont="1" applyBorder="1" applyAlignment="1">
      <alignment horizontal="center"/>
    </xf>
    <xf numFmtId="0" fontId="17" fillId="6" borderId="6" xfId="2" applyFont="1" applyFill="1" applyBorder="1" applyAlignment="1">
      <alignment horizontal="center"/>
    </xf>
    <xf numFmtId="0" fontId="15" fillId="0" borderId="6" xfId="2" applyFont="1" applyBorder="1" applyAlignment="1">
      <alignment horizontal="center"/>
    </xf>
    <xf numFmtId="14" fontId="15" fillId="0" borderId="6" xfId="2" applyNumberFormat="1" applyFont="1" applyBorder="1" applyAlignment="1">
      <alignment horizontal="center"/>
    </xf>
    <xf numFmtId="167" fontId="15" fillId="0" borderId="6" xfId="2" applyNumberFormat="1" applyFont="1" applyBorder="1" applyAlignment="1">
      <alignment horizontal="center"/>
    </xf>
    <xf numFmtId="0" fontId="15" fillId="0" borderId="6" xfId="2" applyFont="1" applyBorder="1" applyAlignment="1">
      <alignment horizontal="center" shrinkToFit="1"/>
    </xf>
    <xf numFmtId="0" fontId="15" fillId="6" borderId="47" xfId="2" applyFont="1" applyFill="1" applyBorder="1" applyAlignment="1">
      <alignment horizontal="center"/>
    </xf>
    <xf numFmtId="0" fontId="15" fillId="0" borderId="48" xfId="2" applyFont="1" applyBorder="1" applyAlignment="1">
      <alignment horizontal="center"/>
    </xf>
    <xf numFmtId="0" fontId="17" fillId="23" borderId="5" xfId="2" applyFont="1" applyFill="1" applyBorder="1" applyAlignment="1">
      <alignment horizontal="center"/>
    </xf>
    <xf numFmtId="0" fontId="16" fillId="0" borderId="0" xfId="2" applyFont="1" applyAlignment="1">
      <alignment horizontal="center" vertical="center"/>
    </xf>
    <xf numFmtId="16" fontId="16" fillId="0" borderId="0" xfId="2" applyNumberFormat="1" applyFont="1" applyAlignment="1">
      <alignment horizontal="center" vertical="center"/>
    </xf>
    <xf numFmtId="169" fontId="16" fillId="0" borderId="5" xfId="2" applyNumberFormat="1" applyFont="1" applyBorder="1" applyAlignment="1">
      <alignment horizontal="center"/>
    </xf>
    <xf numFmtId="169" fontId="16" fillId="0" borderId="0" xfId="2" applyNumberFormat="1" applyFont="1" applyAlignment="1">
      <alignment horizontal="center"/>
    </xf>
    <xf numFmtId="20" fontId="15" fillId="0" borderId="0" xfId="2" applyNumberFormat="1" applyFont="1" applyAlignment="1">
      <alignment horizontal="center" vertical="center"/>
    </xf>
    <xf numFmtId="16" fontId="15" fillId="0" borderId="0" xfId="2" applyNumberFormat="1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69" fontId="15" fillId="0" borderId="5" xfId="2" applyNumberFormat="1" applyFont="1" applyBorder="1" applyAlignment="1">
      <alignment horizontal="center"/>
    </xf>
    <xf numFmtId="16" fontId="15" fillId="0" borderId="5" xfId="2" applyNumberFormat="1" applyFont="1" applyBorder="1" applyAlignment="1">
      <alignment horizontal="center"/>
    </xf>
    <xf numFmtId="0" fontId="17" fillId="5" borderId="5" xfId="2" applyFont="1" applyFill="1" applyBorder="1" applyAlignment="1">
      <alignment horizontal="center"/>
    </xf>
    <xf numFmtId="0" fontId="15" fillId="35" borderId="5" xfId="2" applyFont="1" applyFill="1" applyBorder="1" applyAlignment="1">
      <alignment horizontal="center"/>
    </xf>
    <xf numFmtId="0" fontId="17" fillId="0" borderId="49" xfId="2" applyFont="1" applyBorder="1" applyAlignment="1">
      <alignment horizontal="center"/>
    </xf>
    <xf numFmtId="167" fontId="15" fillId="0" borderId="50" xfId="2" applyNumberFormat="1" applyFont="1" applyBorder="1" applyAlignment="1">
      <alignment horizontal="center"/>
    </xf>
    <xf numFmtId="0" fontId="15" fillId="0" borderId="50" xfId="2" applyFont="1" applyBorder="1" applyAlignment="1">
      <alignment horizontal="center"/>
    </xf>
    <xf numFmtId="0" fontId="15" fillId="0" borderId="51" xfId="2" applyFont="1" applyBorder="1" applyAlignment="1">
      <alignment horizontal="center"/>
    </xf>
    <xf numFmtId="0" fontId="17" fillId="23" borderId="19" xfId="2" applyFont="1" applyFill="1" applyBorder="1" applyAlignment="1">
      <alignment horizontal="center"/>
    </xf>
    <xf numFmtId="20" fontId="15" fillId="0" borderId="5" xfId="2" applyNumberFormat="1" applyFont="1" applyBorder="1" applyAlignment="1">
      <alignment horizontal="center" vertical="center"/>
    </xf>
    <xf numFmtId="16" fontId="15" fillId="0" borderId="5" xfId="2" applyNumberFormat="1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6" fillId="36" borderId="19" xfId="2" applyFont="1" applyFill="1" applyBorder="1" applyAlignment="1">
      <alignment horizontal="center"/>
    </xf>
    <xf numFmtId="20" fontId="17" fillId="0" borderId="49" xfId="2" applyNumberFormat="1" applyFont="1" applyBorder="1" applyAlignment="1">
      <alignment horizontal="center"/>
    </xf>
    <xf numFmtId="16" fontId="16" fillId="0" borderId="5" xfId="2" applyNumberFormat="1" applyFont="1" applyBorder="1" applyAlignment="1">
      <alignment horizontal="center"/>
    </xf>
    <xf numFmtId="167" fontId="15" fillId="0" borderId="49" xfId="2" applyNumberFormat="1" applyFont="1" applyBorder="1" applyAlignment="1">
      <alignment horizontal="center"/>
    </xf>
    <xf numFmtId="0" fontId="15" fillId="0" borderId="49" xfId="2" applyFont="1" applyBorder="1" applyAlignment="1">
      <alignment horizontal="center"/>
    </xf>
    <xf numFmtId="0" fontId="15" fillId="0" borderId="52" xfId="2" applyFont="1" applyBorder="1" applyAlignment="1">
      <alignment horizontal="center"/>
    </xf>
    <xf numFmtId="175" fontId="15" fillId="0" borderId="49" xfId="2" applyNumberFormat="1" applyFont="1" applyBorder="1" applyAlignment="1">
      <alignment horizontal="center"/>
    </xf>
    <xf numFmtId="20" fontId="15" fillId="0" borderId="5" xfId="2" applyNumberFormat="1" applyFont="1" applyBorder="1" applyAlignment="1">
      <alignment horizontal="center"/>
    </xf>
    <xf numFmtId="174" fontId="15" fillId="0" borderId="5" xfId="2" applyNumberFormat="1" applyFont="1" applyBorder="1" applyAlignment="1">
      <alignment horizontal="center"/>
    </xf>
    <xf numFmtId="0" fontId="15" fillId="27" borderId="0" xfId="2" applyFont="1" applyFill="1" applyAlignment="1">
      <alignment horizontal="center"/>
    </xf>
    <xf numFmtId="2" fontId="15" fillId="0" borderId="5" xfId="2" applyNumberFormat="1" applyFont="1" applyBorder="1" applyAlignment="1">
      <alignment horizontal="center"/>
    </xf>
    <xf numFmtId="20" fontId="17" fillId="0" borderId="5" xfId="2" applyNumberFormat="1" applyFont="1" applyBorder="1" applyAlignment="1">
      <alignment horizontal="center"/>
    </xf>
    <xf numFmtId="0" fontId="15" fillId="0" borderId="53" xfId="2" applyFont="1" applyBorder="1" applyAlignment="1">
      <alignment horizontal="center"/>
    </xf>
    <xf numFmtId="2" fontId="15" fillId="0" borderId="45" xfId="2" applyNumberFormat="1" applyFont="1" applyBorder="1" applyAlignment="1">
      <alignment horizontal="center"/>
    </xf>
    <xf numFmtId="2" fontId="15" fillId="0" borderId="28" xfId="2" applyNumberFormat="1" applyFont="1" applyBorder="1" applyAlignment="1">
      <alignment horizontal="center"/>
    </xf>
    <xf numFmtId="0" fontId="15" fillId="0" borderId="0" xfId="2" applyFont="1" applyAlignment="1">
      <alignment horizontal="right"/>
    </xf>
    <xf numFmtId="0" fontId="15" fillId="0" borderId="44" xfId="2" applyFont="1" applyBorder="1" applyAlignment="1">
      <alignment horizontal="center" vertical="center"/>
    </xf>
    <xf numFmtId="167" fontId="15" fillId="0" borderId="44" xfId="2" applyNumberFormat="1" applyFont="1" applyBorder="1" applyAlignment="1">
      <alignment horizontal="center" vertical="center"/>
    </xf>
    <xf numFmtId="176" fontId="15" fillId="0" borderId="53" xfId="2" applyNumberFormat="1" applyFont="1" applyBorder="1" applyAlignment="1">
      <alignment horizontal="center" vertical="center"/>
    </xf>
    <xf numFmtId="176" fontId="15" fillId="0" borderId="0" xfId="2" applyNumberFormat="1" applyFont="1" applyAlignment="1">
      <alignment horizontal="center" vertical="center"/>
    </xf>
    <xf numFmtId="0" fontId="15" fillId="0" borderId="54" xfId="2" applyFont="1" applyBorder="1" applyAlignment="1">
      <alignment horizontal="center"/>
    </xf>
    <xf numFmtId="0" fontId="15" fillId="0" borderId="19" xfId="2" applyFont="1" applyBorder="1" applyAlignment="1">
      <alignment horizontal="center"/>
    </xf>
    <xf numFmtId="0" fontId="15" fillId="20" borderId="0" xfId="2" applyFont="1" applyFill="1" applyAlignment="1">
      <alignment horizontal="center"/>
    </xf>
    <xf numFmtId="0" fontId="17" fillId="36" borderId="19" xfId="2" applyFont="1" applyFill="1" applyBorder="1" applyAlignment="1">
      <alignment horizontal="center"/>
    </xf>
    <xf numFmtId="0" fontId="15" fillId="27" borderId="5" xfId="2" applyFont="1" applyFill="1" applyBorder="1"/>
    <xf numFmtId="164" fontId="15" fillId="0" borderId="5" xfId="2" applyNumberFormat="1" applyFont="1" applyBorder="1" applyAlignment="1">
      <alignment horizontal="center"/>
    </xf>
    <xf numFmtId="0" fontId="17" fillId="0" borderId="55" xfId="2" applyFont="1" applyBorder="1" applyAlignment="1">
      <alignment horizontal="center"/>
    </xf>
    <xf numFmtId="14" fontId="15" fillId="0" borderId="49" xfId="2" applyNumberFormat="1" applyFont="1" applyBorder="1" applyAlignment="1">
      <alignment horizontal="center"/>
    </xf>
    <xf numFmtId="169" fontId="15" fillId="0" borderId="52" xfId="2" applyNumberFormat="1" applyFont="1" applyBorder="1" applyAlignment="1">
      <alignment horizontal="center"/>
    </xf>
    <xf numFmtId="0" fontId="15" fillId="27" borderId="5" xfId="2" applyFont="1" applyFill="1" applyBorder="1" applyAlignment="1">
      <alignment horizontal="center"/>
    </xf>
    <xf numFmtId="169" fontId="15" fillId="0" borderId="5" xfId="2" applyNumberFormat="1" applyFont="1" applyBorder="1" applyAlignment="1">
      <alignment horizontal="center" shrinkToFit="1"/>
    </xf>
    <xf numFmtId="0" fontId="15" fillId="37" borderId="5" xfId="2" applyFont="1" applyFill="1" applyBorder="1" applyAlignment="1">
      <alignment horizontal="center"/>
    </xf>
    <xf numFmtId="20" fontId="16" fillId="0" borderId="5" xfId="2" applyNumberFormat="1" applyFont="1" applyBorder="1" applyAlignment="1">
      <alignment horizontal="center"/>
    </xf>
    <xf numFmtId="0" fontId="16" fillId="0" borderId="5" xfId="2" applyFont="1" applyBorder="1" applyAlignment="1">
      <alignment horizontal="center"/>
    </xf>
    <xf numFmtId="0" fontId="16" fillId="0" borderId="0" xfId="2" applyFont="1" applyAlignment="1">
      <alignment horizontal="center"/>
    </xf>
    <xf numFmtId="0" fontId="17" fillId="0" borderId="52" xfId="2" applyFont="1" applyBorder="1" applyAlignment="1">
      <alignment horizontal="center"/>
    </xf>
    <xf numFmtId="20" fontId="18" fillId="0" borderId="49" xfId="2" applyNumberFormat="1" applyFont="1" applyBorder="1" applyAlignment="1">
      <alignment horizontal="center"/>
    </xf>
    <xf numFmtId="2" fontId="16" fillId="0" borderId="5" xfId="2" applyNumberFormat="1" applyFont="1" applyBorder="1" applyAlignment="1">
      <alignment horizontal="center"/>
    </xf>
    <xf numFmtId="0" fontId="15" fillId="0" borderId="55" xfId="2" applyFont="1" applyBorder="1" applyAlignment="1">
      <alignment horizontal="center" vertical="center"/>
    </xf>
    <xf numFmtId="0" fontId="15" fillId="0" borderId="49" xfId="2" applyFont="1" applyBorder="1" applyAlignment="1">
      <alignment horizontal="center" vertical="center"/>
    </xf>
    <xf numFmtId="14" fontId="15" fillId="0" borderId="56" xfId="2" applyNumberFormat="1" applyFont="1" applyBorder="1" applyAlignment="1">
      <alignment horizontal="center"/>
    </xf>
    <xf numFmtId="167" fontId="15" fillId="0" borderId="49" xfId="2" applyNumberFormat="1" applyFont="1" applyBorder="1" applyAlignment="1">
      <alignment horizontal="center" vertical="center"/>
    </xf>
    <xf numFmtId="0" fontId="15" fillId="0" borderId="56" xfId="2" applyFont="1" applyBorder="1" applyAlignment="1">
      <alignment horizontal="center"/>
    </xf>
    <xf numFmtId="0" fontId="15" fillId="23" borderId="0" xfId="2" applyFont="1" applyFill="1" applyAlignment="1">
      <alignment horizontal="right"/>
    </xf>
    <xf numFmtId="14" fontId="15" fillId="22" borderId="5" xfId="2" applyNumberFormat="1" applyFont="1" applyFill="1" applyBorder="1" applyAlignment="1">
      <alignment horizontal="center"/>
    </xf>
    <xf numFmtId="167" fontId="15" fillId="22" borderId="5" xfId="2" applyNumberFormat="1" applyFont="1" applyFill="1" applyBorder="1" applyAlignment="1">
      <alignment horizontal="center"/>
    </xf>
    <xf numFmtId="0" fontId="15" fillId="22" borderId="54" xfId="2" applyFont="1" applyFill="1" applyBorder="1" applyAlignment="1">
      <alignment horizontal="center"/>
    </xf>
    <xf numFmtId="169" fontId="15" fillId="0" borderId="57" xfId="2" applyNumberFormat="1" applyFont="1" applyBorder="1" applyAlignment="1">
      <alignment horizontal="center"/>
    </xf>
    <xf numFmtId="0" fontId="15" fillId="29" borderId="5" xfId="2" applyFont="1" applyFill="1" applyBorder="1" applyAlignment="1">
      <alignment horizontal="center"/>
    </xf>
    <xf numFmtId="0" fontId="15" fillId="14" borderId="19" xfId="2" applyFont="1" applyFill="1" applyBorder="1" applyAlignment="1">
      <alignment horizontal="center"/>
    </xf>
    <xf numFmtId="0" fontId="15" fillId="14" borderId="5" xfId="2" applyFont="1" applyFill="1" applyBorder="1" applyAlignment="1">
      <alignment horizontal="center"/>
    </xf>
    <xf numFmtId="0" fontId="15" fillId="0" borderId="5" xfId="2" applyFont="1" applyBorder="1"/>
    <xf numFmtId="0" fontId="43" fillId="0" borderId="5" xfId="2" applyFont="1" applyBorder="1" applyAlignment="1">
      <alignment horizontal="center"/>
    </xf>
    <xf numFmtId="0" fontId="15" fillId="0" borderId="55" xfId="2" applyFont="1" applyBorder="1" applyAlignment="1">
      <alignment horizontal="center"/>
    </xf>
    <xf numFmtId="14" fontId="16" fillId="0" borderId="5" xfId="2" applyNumberFormat="1" applyFont="1" applyBorder="1" applyAlignment="1">
      <alignment horizontal="center"/>
    </xf>
    <xf numFmtId="167" fontId="16" fillId="0" borderId="5" xfId="2" applyNumberFormat="1" applyFont="1" applyBorder="1" applyAlignment="1">
      <alignment horizontal="center"/>
    </xf>
    <xf numFmtId="169" fontId="16" fillId="0" borderId="5" xfId="2" applyNumberFormat="1" applyFont="1" applyBorder="1" applyAlignment="1">
      <alignment horizontal="center" shrinkToFit="1"/>
    </xf>
    <xf numFmtId="0" fontId="16" fillId="0" borderId="19" xfId="2" applyFont="1" applyBorder="1" applyAlignment="1">
      <alignment horizontal="center"/>
    </xf>
    <xf numFmtId="169" fontId="15" fillId="0" borderId="6" xfId="2" applyNumberFormat="1" applyFont="1" applyBorder="1" applyAlignment="1">
      <alignment horizontal="center"/>
    </xf>
    <xf numFmtId="20" fontId="16" fillId="0" borderId="5" xfId="2" applyNumberFormat="1" applyFont="1" applyBorder="1" applyAlignment="1">
      <alignment horizontal="center" vertical="center"/>
    </xf>
    <xf numFmtId="16" fontId="16" fillId="0" borderId="5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169" fontId="15" fillId="0" borderId="49" xfId="2" applyNumberFormat="1" applyFont="1" applyBorder="1" applyAlignment="1">
      <alignment horizontal="center"/>
    </xf>
    <xf numFmtId="0" fontId="16" fillId="0" borderId="49" xfId="2" applyFont="1" applyBorder="1" applyAlignment="1">
      <alignment horizontal="center"/>
    </xf>
    <xf numFmtId="175" fontId="16" fillId="0" borderId="49" xfId="2" applyNumberFormat="1" applyFont="1" applyBorder="1" applyAlignment="1">
      <alignment horizontal="center"/>
    </xf>
    <xf numFmtId="167" fontId="16" fillId="0" borderId="49" xfId="2" applyNumberFormat="1" applyFont="1" applyBorder="1" applyAlignment="1">
      <alignment horizontal="center"/>
    </xf>
    <xf numFmtId="169" fontId="16" fillId="0" borderId="52" xfId="2" applyNumberFormat="1" applyFont="1" applyBorder="1" applyAlignment="1">
      <alignment horizontal="center"/>
    </xf>
    <xf numFmtId="0" fontId="16" fillId="0" borderId="52" xfId="2" applyFont="1" applyBorder="1" applyAlignment="1">
      <alignment horizontal="center"/>
    </xf>
    <xf numFmtId="20" fontId="15" fillId="35" borderId="5" xfId="2" applyNumberFormat="1" applyFont="1" applyFill="1" applyBorder="1" applyAlignment="1">
      <alignment horizontal="center"/>
    </xf>
    <xf numFmtId="16" fontId="15" fillId="35" borderId="5" xfId="2" applyNumberFormat="1" applyFont="1" applyFill="1" applyBorder="1" applyAlignment="1">
      <alignment horizontal="center"/>
    </xf>
    <xf numFmtId="167" fontId="15" fillId="35" borderId="5" xfId="2" applyNumberFormat="1" applyFont="1" applyFill="1" applyBorder="1" applyAlignment="1">
      <alignment horizontal="center"/>
    </xf>
    <xf numFmtId="174" fontId="15" fillId="35" borderId="5" xfId="2" applyNumberFormat="1" applyFont="1" applyFill="1" applyBorder="1" applyAlignment="1">
      <alignment horizontal="center"/>
    </xf>
    <xf numFmtId="20" fontId="15" fillId="14" borderId="5" xfId="2" applyNumberFormat="1" applyFont="1" applyFill="1" applyBorder="1" applyAlignment="1">
      <alignment horizontal="center"/>
    </xf>
    <xf numFmtId="14" fontId="15" fillId="14" borderId="5" xfId="2" applyNumberFormat="1" applyFont="1" applyFill="1" applyBorder="1" applyAlignment="1">
      <alignment horizontal="center"/>
    </xf>
    <xf numFmtId="167" fontId="15" fillId="14" borderId="5" xfId="2" applyNumberFormat="1" applyFont="1" applyFill="1" applyBorder="1" applyAlignment="1">
      <alignment horizontal="center"/>
    </xf>
    <xf numFmtId="169" fontId="15" fillId="14" borderId="5" xfId="2" applyNumberFormat="1" applyFont="1" applyFill="1" applyBorder="1" applyAlignment="1">
      <alignment horizontal="center"/>
    </xf>
    <xf numFmtId="2" fontId="15" fillId="14" borderId="5" xfId="2" applyNumberFormat="1" applyFont="1" applyFill="1" applyBorder="1" applyAlignment="1">
      <alignment horizontal="center"/>
    </xf>
    <xf numFmtId="0" fontId="15" fillId="0" borderId="58" xfId="2" applyFont="1" applyBorder="1" applyAlignment="1">
      <alignment horizontal="center" vertical="center"/>
    </xf>
    <xf numFmtId="0" fontId="15" fillId="0" borderId="50" xfId="2" applyFont="1" applyBorder="1" applyAlignment="1">
      <alignment horizontal="center" vertical="center"/>
    </xf>
    <xf numFmtId="14" fontId="15" fillId="0" borderId="59" xfId="2" applyNumberFormat="1" applyFont="1" applyBorder="1" applyAlignment="1">
      <alignment horizontal="center"/>
    </xf>
    <xf numFmtId="167" fontId="15" fillId="0" borderId="50" xfId="2" applyNumberFormat="1" applyFont="1" applyBorder="1" applyAlignment="1">
      <alignment horizontal="center" vertical="center"/>
    </xf>
    <xf numFmtId="0" fontId="15" fillId="0" borderId="59" xfId="2" applyFont="1" applyBorder="1" applyAlignment="1">
      <alignment horizontal="center"/>
    </xf>
    <xf numFmtId="169" fontId="15" fillId="0" borderId="51" xfId="2" applyNumberFormat="1" applyFont="1" applyBorder="1" applyAlignment="1">
      <alignment horizontal="center"/>
    </xf>
    <xf numFmtId="0" fontId="15" fillId="22" borderId="5" xfId="2" applyFont="1" applyFill="1" applyBorder="1" applyAlignment="1">
      <alignment horizontal="center"/>
    </xf>
    <xf numFmtId="169" fontId="15" fillId="22" borderId="5" xfId="2" applyNumberFormat="1" applyFont="1" applyFill="1" applyBorder="1" applyAlignment="1">
      <alignment horizontal="center"/>
    </xf>
    <xf numFmtId="0" fontId="15" fillId="6" borderId="54" xfId="2" applyFont="1" applyFill="1" applyBorder="1" applyAlignment="1">
      <alignment horizontal="center"/>
    </xf>
    <xf numFmtId="167" fontId="15" fillId="38" borderId="5" xfId="2" applyNumberFormat="1" applyFont="1" applyFill="1" applyBorder="1" applyAlignment="1">
      <alignment horizontal="center"/>
    </xf>
    <xf numFmtId="0" fontId="15" fillId="38" borderId="5" xfId="2" applyFont="1" applyFill="1" applyBorder="1" applyAlignment="1">
      <alignment horizontal="center"/>
    </xf>
    <xf numFmtId="0" fontId="15" fillId="38" borderId="19" xfId="2" applyFont="1" applyFill="1" applyBorder="1" applyAlignment="1">
      <alignment horizontal="center"/>
    </xf>
    <xf numFmtId="169" fontId="16" fillId="38" borderId="5" xfId="2" applyNumberFormat="1" applyFont="1" applyFill="1" applyBorder="1" applyAlignment="1">
      <alignment horizontal="center"/>
    </xf>
    <xf numFmtId="0" fontId="17" fillId="5" borderId="52" xfId="2" applyFont="1" applyFill="1" applyBorder="1" applyAlignment="1">
      <alignment horizontal="center"/>
    </xf>
    <xf numFmtId="20" fontId="16" fillId="0" borderId="49" xfId="2" applyNumberFormat="1" applyFont="1" applyBorder="1" applyAlignment="1">
      <alignment horizontal="center"/>
    </xf>
    <xf numFmtId="174" fontId="16" fillId="0" borderId="5" xfId="2" applyNumberFormat="1" applyFont="1" applyBorder="1" applyAlignment="1">
      <alignment horizontal="center"/>
    </xf>
    <xf numFmtId="20" fontId="17" fillId="14" borderId="5" xfId="2" applyNumberFormat="1" applyFont="1" applyFill="1" applyBorder="1" applyAlignment="1">
      <alignment horizontal="center"/>
    </xf>
    <xf numFmtId="16" fontId="15" fillId="14" borderId="5" xfId="2" applyNumberFormat="1" applyFont="1" applyFill="1" applyBorder="1" applyAlignment="1">
      <alignment horizontal="center"/>
    </xf>
    <xf numFmtId="167" fontId="15" fillId="0" borderId="5" xfId="2" applyNumberFormat="1" applyFont="1" applyBorder="1" applyAlignment="1">
      <alignment horizontal="center" vertical="center"/>
    </xf>
    <xf numFmtId="0" fontId="43" fillId="14" borderId="5" xfId="2" applyFont="1" applyFill="1" applyBorder="1" applyAlignment="1">
      <alignment horizontal="center"/>
    </xf>
    <xf numFmtId="1" fontId="15" fillId="14" borderId="5" xfId="2" applyNumberFormat="1" applyFont="1" applyFill="1" applyBorder="1" applyAlignment="1">
      <alignment horizontal="center"/>
    </xf>
    <xf numFmtId="0" fontId="15" fillId="14" borderId="5" xfId="2" applyFont="1" applyFill="1" applyBorder="1"/>
    <xf numFmtId="164" fontId="16" fillId="0" borderId="5" xfId="2" applyNumberFormat="1" applyFont="1" applyBorder="1" applyAlignment="1">
      <alignment horizontal="center"/>
    </xf>
    <xf numFmtId="0" fontId="16" fillId="0" borderId="5" xfId="2" applyFont="1" applyBorder="1"/>
    <xf numFmtId="0" fontId="44" fillId="39" borderId="5" xfId="2" applyFont="1" applyFill="1" applyBorder="1" applyAlignment="1">
      <alignment horizontal="center"/>
    </xf>
    <xf numFmtId="20" fontId="15" fillId="14" borderId="49" xfId="2" applyNumberFormat="1" applyFont="1" applyFill="1" applyBorder="1" applyAlignment="1">
      <alignment horizontal="center"/>
    </xf>
    <xf numFmtId="175" fontId="15" fillId="14" borderId="49" xfId="2" applyNumberFormat="1" applyFont="1" applyFill="1" applyBorder="1" applyAlignment="1">
      <alignment horizontal="center"/>
    </xf>
    <xf numFmtId="167" fontId="15" fillId="14" borderId="49" xfId="2" applyNumberFormat="1" applyFont="1" applyFill="1" applyBorder="1" applyAlignment="1">
      <alignment horizontal="center"/>
    </xf>
    <xf numFmtId="0" fontId="15" fillId="14" borderId="49" xfId="2" applyFont="1" applyFill="1" applyBorder="1" applyAlignment="1">
      <alignment horizontal="center"/>
    </xf>
    <xf numFmtId="0" fontId="15" fillId="14" borderId="52" xfId="2" applyFont="1" applyFill="1" applyBorder="1" applyAlignment="1">
      <alignment horizontal="center"/>
    </xf>
    <xf numFmtId="0" fontId="17" fillId="23" borderId="43" xfId="2" applyFont="1" applyFill="1" applyBorder="1" applyAlignment="1">
      <alignment horizontal="center"/>
    </xf>
    <xf numFmtId="1" fontId="16" fillId="0" borderId="5" xfId="2" applyNumberFormat="1" applyFont="1" applyBorder="1" applyAlignment="1">
      <alignment horizontal="center"/>
    </xf>
    <xf numFmtId="0" fontId="16" fillId="0" borderId="48" xfId="2" applyFont="1" applyBorder="1" applyAlignment="1">
      <alignment horizontal="center"/>
    </xf>
    <xf numFmtId="46" fontId="15" fillId="40" borderId="0" xfId="2" applyNumberFormat="1" applyFont="1" applyFill="1" applyAlignment="1">
      <alignment horizontal="center"/>
    </xf>
    <xf numFmtId="16" fontId="15" fillId="40" borderId="0" xfId="2" applyNumberFormat="1" applyFont="1" applyFill="1" applyAlignment="1">
      <alignment horizontal="center"/>
    </xf>
    <xf numFmtId="0" fontId="15" fillId="40" borderId="0" xfId="2" applyFont="1" applyFill="1" applyAlignment="1">
      <alignment horizontal="center"/>
    </xf>
    <xf numFmtId="0" fontId="15" fillId="40" borderId="49" xfId="2" applyFont="1" applyFill="1" applyBorder="1" applyAlignment="1">
      <alignment horizontal="center"/>
    </xf>
    <xf numFmtId="0" fontId="15" fillId="40" borderId="5" xfId="2" applyFont="1" applyFill="1" applyBorder="1" applyAlignment="1">
      <alignment horizontal="center"/>
    </xf>
    <xf numFmtId="20" fontId="15" fillId="40" borderId="5" xfId="2" applyNumberFormat="1" applyFont="1" applyFill="1" applyBorder="1" applyAlignment="1">
      <alignment horizontal="center"/>
    </xf>
    <xf numFmtId="14" fontId="15" fillId="40" borderId="5" xfId="2" applyNumberFormat="1" applyFont="1" applyFill="1" applyBorder="1" applyAlignment="1">
      <alignment horizontal="center"/>
    </xf>
    <xf numFmtId="169" fontId="15" fillId="40" borderId="5" xfId="2" applyNumberFormat="1" applyFont="1" applyFill="1" applyBorder="1" applyAlignment="1">
      <alignment horizontal="center"/>
    </xf>
    <xf numFmtId="0" fontId="15" fillId="40" borderId="19" xfId="2" applyFont="1" applyFill="1" applyBorder="1" applyAlignment="1">
      <alignment horizontal="center"/>
    </xf>
    <xf numFmtId="0" fontId="16" fillId="0" borderId="47" xfId="2" applyFont="1" applyBorder="1" applyAlignment="1">
      <alignment horizontal="center"/>
    </xf>
    <xf numFmtId="0" fontId="18" fillId="0" borderId="5" xfId="2" applyFont="1" applyBorder="1" applyAlignment="1">
      <alignment horizontal="center"/>
    </xf>
    <xf numFmtId="0" fontId="18" fillId="14" borderId="5" xfId="2" applyFont="1" applyFill="1" applyBorder="1" applyAlignment="1">
      <alignment horizontal="center"/>
    </xf>
    <xf numFmtId="0" fontId="15" fillId="14" borderId="5" xfId="2" applyFont="1" applyFill="1" applyBorder="1" applyAlignment="1">
      <alignment horizontal="center" vertical="center"/>
    </xf>
    <xf numFmtId="20" fontId="15" fillId="14" borderId="5" xfId="2" applyNumberFormat="1" applyFont="1" applyFill="1" applyBorder="1" applyAlignment="1">
      <alignment horizontal="center" vertical="center"/>
    </xf>
    <xf numFmtId="16" fontId="15" fillId="14" borderId="5" xfId="2" applyNumberFormat="1" applyFont="1" applyFill="1" applyBorder="1" applyAlignment="1">
      <alignment horizontal="center" vertical="center"/>
    </xf>
    <xf numFmtId="169" fontId="16" fillId="0" borderId="49" xfId="2" applyNumberFormat="1" applyFont="1" applyBorder="1" applyAlignment="1">
      <alignment horizontal="center"/>
    </xf>
    <xf numFmtId="20" fontId="15" fillId="40" borderId="0" xfId="2" applyNumberFormat="1" applyFont="1" applyFill="1" applyAlignment="1">
      <alignment horizontal="center"/>
    </xf>
    <xf numFmtId="0" fontId="15" fillId="26" borderId="5" xfId="2" applyFont="1" applyFill="1" applyBorder="1" applyAlignment="1">
      <alignment horizontal="center"/>
    </xf>
    <xf numFmtId="20" fontId="15" fillId="26" borderId="5" xfId="2" applyNumberFormat="1" applyFont="1" applyFill="1" applyBorder="1" applyAlignment="1">
      <alignment horizontal="center"/>
    </xf>
    <xf numFmtId="14" fontId="15" fillId="26" borderId="5" xfId="2" applyNumberFormat="1" applyFont="1" applyFill="1" applyBorder="1" applyAlignment="1">
      <alignment horizontal="center"/>
    </xf>
    <xf numFmtId="169" fontId="15" fillId="26" borderId="5" xfId="2" applyNumberFormat="1" applyFont="1" applyFill="1" applyBorder="1" applyAlignment="1">
      <alignment horizontal="center"/>
    </xf>
    <xf numFmtId="0" fontId="15" fillId="26" borderId="19" xfId="2" applyFont="1" applyFill="1" applyBorder="1" applyAlignment="1">
      <alignment horizontal="center"/>
    </xf>
    <xf numFmtId="20" fontId="15" fillId="0" borderId="6" xfId="2" applyNumberFormat="1" applyFont="1" applyBorder="1" applyAlignment="1">
      <alignment horizontal="center"/>
    </xf>
    <xf numFmtId="16" fontId="15" fillId="0" borderId="6" xfId="2" applyNumberFormat="1" applyFont="1" applyBorder="1" applyAlignment="1">
      <alignment horizontal="center"/>
    </xf>
    <xf numFmtId="0" fontId="15" fillId="28" borderId="0" xfId="2" applyFont="1" applyFill="1" applyAlignment="1">
      <alignment horizontal="center"/>
    </xf>
    <xf numFmtId="20" fontId="17" fillId="14" borderId="50" xfId="2" applyNumberFormat="1" applyFont="1" applyFill="1" applyBorder="1" applyAlignment="1">
      <alignment horizontal="center"/>
    </xf>
    <xf numFmtId="16" fontId="16" fillId="14" borderId="6" xfId="2" applyNumberFormat="1" applyFont="1" applyFill="1" applyBorder="1" applyAlignment="1">
      <alignment horizontal="center"/>
    </xf>
    <xf numFmtId="167" fontId="15" fillId="14" borderId="50" xfId="2" applyNumberFormat="1" applyFont="1" applyFill="1" applyBorder="1" applyAlignment="1">
      <alignment horizontal="center"/>
    </xf>
    <xf numFmtId="0" fontId="15" fillId="14" borderId="50" xfId="2" applyFont="1" applyFill="1" applyBorder="1" applyAlignment="1">
      <alignment horizontal="center"/>
    </xf>
    <xf numFmtId="169" fontId="15" fillId="14" borderId="50" xfId="2" applyNumberFormat="1" applyFont="1" applyFill="1" applyBorder="1" applyAlignment="1">
      <alignment horizontal="center"/>
    </xf>
    <xf numFmtId="0" fontId="15" fillId="14" borderId="51" xfId="2" applyFont="1" applyFill="1" applyBorder="1" applyAlignment="1">
      <alignment horizontal="center"/>
    </xf>
    <xf numFmtId="0" fontId="16" fillId="15" borderId="6" xfId="2" applyFont="1" applyFill="1" applyBorder="1" applyAlignment="1">
      <alignment horizontal="center"/>
    </xf>
    <xf numFmtId="16" fontId="15" fillId="22" borderId="5" xfId="2" applyNumberFormat="1" applyFont="1" applyFill="1" applyBorder="1" applyAlignment="1">
      <alignment horizontal="center"/>
    </xf>
    <xf numFmtId="0" fontId="15" fillId="22" borderId="0" xfId="2" applyFont="1" applyFill="1" applyAlignment="1">
      <alignment horizontal="center"/>
    </xf>
    <xf numFmtId="0" fontId="16" fillId="23" borderId="5" xfId="2" applyFont="1" applyFill="1" applyBorder="1" applyAlignment="1">
      <alignment horizontal="center"/>
    </xf>
    <xf numFmtId="0" fontId="15" fillId="28" borderId="5" xfId="2" applyFont="1" applyFill="1" applyBorder="1" applyAlignment="1">
      <alignment horizontal="center"/>
    </xf>
    <xf numFmtId="176" fontId="16" fillId="0" borderId="5" xfId="2" applyNumberFormat="1" applyFont="1" applyBorder="1" applyAlignment="1">
      <alignment horizontal="center"/>
    </xf>
    <xf numFmtId="16" fontId="15" fillId="0" borderId="0" xfId="2" applyNumberFormat="1" applyFont="1" applyAlignment="1">
      <alignment horizontal="center"/>
    </xf>
    <xf numFmtId="0" fontId="16" fillId="28" borderId="19" xfId="2" applyFont="1" applyFill="1" applyBorder="1" applyAlignment="1">
      <alignment horizontal="center"/>
    </xf>
    <xf numFmtId="0" fontId="15" fillId="26" borderId="0" xfId="2" applyFont="1" applyFill="1" applyAlignment="1">
      <alignment horizontal="center"/>
    </xf>
    <xf numFmtId="20" fontId="15" fillId="26" borderId="0" xfId="2" applyNumberFormat="1" applyFont="1" applyFill="1" applyAlignment="1">
      <alignment horizontal="center"/>
    </xf>
    <xf numFmtId="16" fontId="15" fillId="26" borderId="0" xfId="2" applyNumberFormat="1" applyFont="1" applyFill="1" applyAlignment="1">
      <alignment horizontal="center"/>
    </xf>
    <xf numFmtId="0" fontId="43" fillId="35" borderId="5" xfId="2" applyFont="1" applyFill="1" applyBorder="1" applyAlignment="1">
      <alignment horizontal="center"/>
    </xf>
    <xf numFmtId="1" fontId="15" fillId="35" borderId="5" xfId="2" applyNumberFormat="1" applyFont="1" applyFill="1" applyBorder="1" applyAlignment="1">
      <alignment horizontal="center"/>
    </xf>
    <xf numFmtId="0" fontId="16" fillId="0" borderId="60" xfId="2" applyFont="1" applyBorder="1" applyAlignment="1">
      <alignment horizontal="center"/>
    </xf>
    <xf numFmtId="0" fontId="17" fillId="41" borderId="6" xfId="2" applyFont="1" applyFill="1" applyBorder="1" applyAlignment="1">
      <alignment horizontal="center"/>
    </xf>
    <xf numFmtId="0" fontId="15" fillId="41" borderId="0" xfId="2" applyFont="1" applyFill="1" applyAlignment="1">
      <alignment horizontal="center"/>
    </xf>
    <xf numFmtId="0" fontId="16" fillId="26" borderId="5" xfId="2" applyFont="1" applyFill="1" applyBorder="1" applyAlignment="1">
      <alignment horizontal="center"/>
    </xf>
    <xf numFmtId="16" fontId="15" fillId="26" borderId="5" xfId="2" applyNumberFormat="1" applyFont="1" applyFill="1" applyBorder="1" applyAlignment="1">
      <alignment horizontal="center"/>
    </xf>
    <xf numFmtId="0" fontId="15" fillId="14" borderId="0" xfId="2" applyFont="1" applyFill="1" applyAlignment="1">
      <alignment horizontal="center"/>
    </xf>
    <xf numFmtId="169" fontId="15" fillId="0" borderId="0" xfId="2" applyNumberFormat="1" applyFont="1" applyAlignment="1">
      <alignment horizontal="center"/>
    </xf>
    <xf numFmtId="0" fontId="17" fillId="23" borderId="61" xfId="2" applyFont="1" applyFill="1" applyBorder="1" applyAlignment="1">
      <alignment horizontal="center"/>
    </xf>
    <xf numFmtId="20" fontId="15" fillId="22" borderId="0" xfId="2" applyNumberFormat="1" applyFont="1" applyFill="1" applyAlignment="1">
      <alignment horizontal="center"/>
    </xf>
    <xf numFmtId="16" fontId="15" fillId="22" borderId="0" xfId="2" applyNumberFormat="1" applyFont="1" applyFill="1" applyAlignment="1">
      <alignment horizontal="center"/>
    </xf>
    <xf numFmtId="0" fontId="15" fillId="26" borderId="5" xfId="2" applyFont="1" applyFill="1" applyBorder="1"/>
    <xf numFmtId="174" fontId="15" fillId="14" borderId="5" xfId="2" applyNumberFormat="1" applyFont="1" applyFill="1" applyBorder="1" applyAlignment="1">
      <alignment horizontal="center"/>
    </xf>
    <xf numFmtId="0" fontId="15" fillId="42" borderId="5" xfId="2" applyFont="1" applyFill="1" applyBorder="1" applyAlignment="1">
      <alignment horizontal="center"/>
    </xf>
    <xf numFmtId="20" fontId="15" fillId="42" borderId="5" xfId="2" applyNumberFormat="1" applyFont="1" applyFill="1" applyBorder="1" applyAlignment="1">
      <alignment horizontal="center"/>
    </xf>
    <xf numFmtId="14" fontId="15" fillId="42" borderId="5" xfId="2" applyNumberFormat="1" applyFont="1" applyFill="1" applyBorder="1" applyAlignment="1">
      <alignment horizontal="center"/>
    </xf>
    <xf numFmtId="167" fontId="15" fillId="42" borderId="5" xfId="2" applyNumberFormat="1" applyFont="1" applyFill="1" applyBorder="1" applyAlignment="1">
      <alignment horizontal="center"/>
    </xf>
    <xf numFmtId="169" fontId="15" fillId="42" borderId="5" xfId="2" applyNumberFormat="1" applyFont="1" applyFill="1" applyBorder="1" applyAlignment="1">
      <alignment horizontal="center"/>
    </xf>
    <xf numFmtId="169" fontId="15" fillId="42" borderId="0" xfId="2" applyNumberFormat="1" applyFont="1" applyFill="1" applyAlignment="1">
      <alignment horizontal="center"/>
    </xf>
    <xf numFmtId="0" fontId="15" fillId="43" borderId="5" xfId="2" applyFont="1" applyFill="1" applyBorder="1" applyAlignment="1">
      <alignment horizontal="center"/>
    </xf>
    <xf numFmtId="0" fontId="15" fillId="0" borderId="62" xfId="2" applyFont="1" applyBorder="1" applyAlignment="1">
      <alignment horizontal="center"/>
    </xf>
    <xf numFmtId="0" fontId="15" fillId="0" borderId="63" xfId="2" applyFont="1" applyBorder="1" applyAlignment="1">
      <alignment horizontal="center"/>
    </xf>
    <xf numFmtId="14" fontId="15" fillId="0" borderId="63" xfId="2" applyNumberFormat="1" applyFont="1" applyBorder="1" applyAlignment="1">
      <alignment horizontal="center"/>
    </xf>
    <xf numFmtId="167" fontId="15" fillId="0" borderId="63" xfId="2" applyNumberFormat="1" applyFont="1" applyBorder="1" applyAlignment="1">
      <alignment horizontal="center"/>
    </xf>
    <xf numFmtId="169" fontId="15" fillId="0" borderId="64" xfId="2" applyNumberFormat="1" applyFont="1" applyBorder="1" applyAlignment="1">
      <alignment horizontal="center"/>
    </xf>
    <xf numFmtId="0" fontId="15" fillId="27" borderId="1" xfId="2" applyFont="1" applyFill="1" applyBorder="1" applyAlignment="1">
      <alignment horizontal="left"/>
    </xf>
    <xf numFmtId="0" fontId="15" fillId="0" borderId="1" xfId="2" applyFont="1" applyBorder="1" applyAlignment="1">
      <alignment horizontal="center"/>
    </xf>
    <xf numFmtId="0" fontId="17" fillId="26" borderId="5" xfId="2" applyFont="1" applyFill="1" applyBorder="1" applyAlignment="1">
      <alignment horizontal="center"/>
    </xf>
    <xf numFmtId="20" fontId="15" fillId="0" borderId="28" xfId="2" applyNumberFormat="1" applyFont="1" applyBorder="1" applyAlignment="1">
      <alignment horizontal="center"/>
    </xf>
    <xf numFmtId="16" fontId="15" fillId="0" borderId="28" xfId="2" applyNumberFormat="1" applyFont="1" applyBorder="1" applyAlignment="1">
      <alignment horizontal="center"/>
    </xf>
    <xf numFmtId="169" fontId="15" fillId="0" borderId="59" xfId="2" applyNumberFormat="1" applyFont="1" applyBorder="1" applyAlignment="1">
      <alignment horizontal="center"/>
    </xf>
    <xf numFmtId="0" fontId="15" fillId="42" borderId="0" xfId="2" applyFont="1" applyFill="1" applyAlignment="1">
      <alignment horizontal="center"/>
    </xf>
    <xf numFmtId="20" fontId="15" fillId="42" borderId="0" xfId="2" applyNumberFormat="1" applyFont="1" applyFill="1" applyAlignment="1">
      <alignment horizontal="center"/>
    </xf>
    <xf numFmtId="16" fontId="15" fillId="42" borderId="0" xfId="2" applyNumberFormat="1" applyFont="1" applyFill="1" applyAlignment="1">
      <alignment horizontal="center"/>
    </xf>
    <xf numFmtId="177" fontId="15" fillId="0" borderId="5" xfId="2" applyNumberFormat="1" applyFont="1" applyBorder="1" applyAlignment="1">
      <alignment horizontal="center"/>
    </xf>
    <xf numFmtId="0" fontId="15" fillId="29" borderId="1" xfId="2" applyFont="1" applyFill="1" applyBorder="1" applyAlignment="1">
      <alignment horizontal="left"/>
    </xf>
    <xf numFmtId="174" fontId="43" fillId="0" borderId="5" xfId="2" applyNumberFormat="1" applyFont="1" applyBorder="1" applyAlignment="1">
      <alignment horizontal="center"/>
    </xf>
    <xf numFmtId="0" fontId="16" fillId="43" borderId="19" xfId="2" applyFont="1" applyFill="1" applyBorder="1" applyAlignment="1">
      <alignment horizontal="center"/>
    </xf>
    <xf numFmtId="0" fontId="15" fillId="0" borderId="20" xfId="2" applyFont="1" applyBorder="1" applyAlignment="1">
      <alignment horizontal="center"/>
    </xf>
    <xf numFmtId="0" fontId="17" fillId="36" borderId="5" xfId="2" applyFont="1" applyFill="1" applyBorder="1" applyAlignment="1">
      <alignment horizontal="center"/>
    </xf>
    <xf numFmtId="0" fontId="16" fillId="0" borderId="20" xfId="2" applyFont="1" applyBorder="1" applyAlignment="1">
      <alignment horizontal="center"/>
    </xf>
    <xf numFmtId="0" fontId="15" fillId="24" borderId="0" xfId="2" applyFont="1" applyFill="1" applyAlignment="1">
      <alignment horizontal="center"/>
    </xf>
    <xf numFmtId="1" fontId="15" fillId="0" borderId="6" xfId="2" applyNumberFormat="1" applyFont="1" applyBorder="1" applyAlignment="1">
      <alignment horizontal="center"/>
    </xf>
    <xf numFmtId="0" fontId="16" fillId="0" borderId="0" xfId="2" applyFont="1"/>
    <xf numFmtId="175" fontId="15" fillId="26" borderId="0" xfId="2" applyNumberFormat="1" applyFont="1" applyFill="1" applyAlignment="1">
      <alignment horizontal="center"/>
    </xf>
    <xf numFmtId="0" fontId="15" fillId="0" borderId="7" xfId="2" applyFont="1" applyBorder="1" applyAlignment="1">
      <alignment horizontal="center"/>
    </xf>
    <xf numFmtId="0" fontId="15" fillId="0" borderId="65" xfId="2" applyFont="1" applyBorder="1" applyAlignment="1">
      <alignment horizontal="center"/>
    </xf>
    <xf numFmtId="169" fontId="15" fillId="14" borderId="5" xfId="2" applyNumberFormat="1" applyFont="1" applyFill="1" applyBorder="1" applyAlignment="1">
      <alignment horizontal="center" shrinkToFit="1"/>
    </xf>
    <xf numFmtId="0" fontId="15" fillId="14" borderId="0" xfId="2" applyFont="1" applyFill="1"/>
    <xf numFmtId="0" fontId="15" fillId="0" borderId="19" xfId="2" applyFont="1" applyBorder="1" applyAlignment="1">
      <alignment horizontal="left"/>
    </xf>
    <xf numFmtId="20" fontId="15" fillId="0" borderId="66" xfId="2" applyNumberFormat="1" applyFont="1" applyBorder="1" applyAlignment="1">
      <alignment horizontal="center"/>
    </xf>
    <xf numFmtId="16" fontId="15" fillId="0" borderId="66" xfId="2" applyNumberFormat="1" applyFont="1" applyBorder="1" applyAlignment="1">
      <alignment horizontal="center"/>
    </xf>
    <xf numFmtId="0" fontId="15" fillId="0" borderId="66" xfId="2" applyFont="1" applyBorder="1" applyAlignment="1">
      <alignment horizontal="center"/>
    </xf>
    <xf numFmtId="1" fontId="15" fillId="0" borderId="66" xfId="2" applyNumberFormat="1" applyFont="1" applyBorder="1" applyAlignment="1">
      <alignment horizontal="center"/>
    </xf>
    <xf numFmtId="0" fontId="15" fillId="0" borderId="67" xfId="2" applyFont="1" applyBorder="1" applyAlignment="1">
      <alignment horizontal="center"/>
    </xf>
    <xf numFmtId="20" fontId="45" fillId="0" borderId="0" xfId="2" applyNumberFormat="1" applyFont="1" applyAlignment="1">
      <alignment horizontal="center"/>
    </xf>
    <xf numFmtId="16" fontId="45" fillId="0" borderId="0" xfId="2" applyNumberFormat="1" applyFont="1" applyAlignment="1">
      <alignment horizontal="center"/>
    </xf>
    <xf numFmtId="0" fontId="45" fillId="0" borderId="0" xfId="2" applyFont="1" applyAlignment="1">
      <alignment horizontal="center"/>
    </xf>
    <xf numFmtId="169" fontId="45" fillId="0" borderId="5" xfId="2" applyNumberFormat="1" applyFont="1" applyBorder="1" applyAlignment="1">
      <alignment horizontal="center"/>
    </xf>
    <xf numFmtId="169" fontId="15" fillId="38" borderId="5" xfId="2" applyNumberFormat="1" applyFont="1" applyFill="1" applyBorder="1" applyAlignment="1">
      <alignment horizontal="center"/>
    </xf>
    <xf numFmtId="0" fontId="15" fillId="38" borderId="20" xfId="2" applyFont="1" applyFill="1" applyBorder="1" applyAlignment="1">
      <alignment horizontal="center"/>
    </xf>
    <xf numFmtId="0" fontId="15" fillId="38" borderId="0" xfId="2" applyFont="1" applyFill="1" applyAlignment="1">
      <alignment horizontal="center"/>
    </xf>
    <xf numFmtId="0" fontId="15" fillId="11" borderId="5" xfId="2" applyFont="1" applyFill="1" applyBorder="1" applyAlignment="1">
      <alignment horizontal="center"/>
    </xf>
    <xf numFmtId="169" fontId="15" fillId="0" borderId="66" xfId="2" applyNumberFormat="1" applyFont="1" applyBorder="1" applyAlignment="1">
      <alignment horizontal="center"/>
    </xf>
    <xf numFmtId="169" fontId="15" fillId="40" borderId="6" xfId="2" applyNumberFormat="1" applyFont="1" applyFill="1" applyBorder="1" applyAlignment="1">
      <alignment horizontal="center" shrinkToFit="1"/>
    </xf>
    <xf numFmtId="177" fontId="15" fillId="14" borderId="5" xfId="2" applyNumberFormat="1" applyFont="1" applyFill="1" applyBorder="1" applyAlignment="1">
      <alignment horizontal="center"/>
    </xf>
    <xf numFmtId="0" fontId="15" fillId="14" borderId="19" xfId="2" applyFont="1" applyFill="1" applyBorder="1" applyAlignment="1">
      <alignment horizontal="left"/>
    </xf>
    <xf numFmtId="0" fontId="15" fillId="14" borderId="7" xfId="2" applyFont="1" applyFill="1" applyBorder="1" applyAlignment="1">
      <alignment horizontal="center"/>
    </xf>
    <xf numFmtId="0" fontId="16" fillId="29" borderId="5" xfId="2" applyFont="1" applyFill="1" applyBorder="1" applyAlignment="1">
      <alignment horizontal="center"/>
    </xf>
    <xf numFmtId="0" fontId="15" fillId="0" borderId="58" xfId="2" applyFont="1" applyBorder="1" applyAlignment="1">
      <alignment horizontal="center"/>
    </xf>
    <xf numFmtId="0" fontId="15" fillId="0" borderId="47" xfId="2" applyFont="1" applyBorder="1" applyAlignment="1">
      <alignment horizontal="center"/>
    </xf>
    <xf numFmtId="14" fontId="15" fillId="0" borderId="50" xfId="2" applyNumberFormat="1" applyFont="1" applyBorder="1" applyAlignment="1">
      <alignment horizontal="center"/>
    </xf>
    <xf numFmtId="169" fontId="46" fillId="0" borderId="5" xfId="2" applyNumberFormat="1" applyFont="1" applyBorder="1" applyAlignment="1">
      <alignment horizontal="center"/>
    </xf>
    <xf numFmtId="20" fontId="15" fillId="0" borderId="0" xfId="2" applyNumberFormat="1" applyFont="1" applyAlignment="1">
      <alignment horizontal="center"/>
    </xf>
    <xf numFmtId="0" fontId="15" fillId="44" borderId="5" xfId="2" applyFont="1" applyFill="1" applyBorder="1" applyAlignment="1">
      <alignment horizontal="center"/>
    </xf>
    <xf numFmtId="0" fontId="18" fillId="10" borderId="6" xfId="2" applyFont="1" applyFill="1" applyBorder="1" applyAlignment="1">
      <alignment horizontal="center"/>
    </xf>
    <xf numFmtId="169" fontId="15" fillId="0" borderId="19" xfId="2" applyNumberFormat="1" applyFont="1" applyBorder="1" applyAlignment="1">
      <alignment horizontal="center"/>
    </xf>
    <xf numFmtId="0" fontId="43" fillId="0" borderId="5" xfId="2" applyFont="1" applyBorder="1" applyAlignment="1">
      <alignment horizontal="center" vertical="center"/>
    </xf>
    <xf numFmtId="46" fontId="15" fillId="0" borderId="5" xfId="2" applyNumberFormat="1" applyFont="1" applyBorder="1" applyAlignment="1">
      <alignment horizontal="center"/>
    </xf>
    <xf numFmtId="0" fontId="15" fillId="0" borderId="5" xfId="2" applyFont="1" applyBorder="1" applyAlignment="1">
      <alignment horizontal="center" shrinkToFit="1"/>
    </xf>
    <xf numFmtId="0" fontId="15" fillId="38" borderId="65" xfId="2" applyFont="1" applyFill="1" applyBorder="1" applyAlignment="1">
      <alignment horizontal="center"/>
    </xf>
    <xf numFmtId="169" fontId="15" fillId="38" borderId="6" xfId="2" applyNumberFormat="1" applyFont="1" applyFill="1" applyBorder="1" applyAlignment="1">
      <alignment horizontal="center"/>
    </xf>
    <xf numFmtId="0" fontId="15" fillId="38" borderId="22" xfId="2" applyFont="1" applyFill="1" applyBorder="1" applyAlignment="1">
      <alignment horizontal="center"/>
    </xf>
    <xf numFmtId="0" fontId="15" fillId="38" borderId="6" xfId="2" applyFont="1" applyFill="1" applyBorder="1" applyAlignment="1">
      <alignment horizontal="center"/>
    </xf>
    <xf numFmtId="0" fontId="15" fillId="45" borderId="1" xfId="2" applyFont="1" applyFill="1" applyBorder="1" applyAlignment="1">
      <alignment horizontal="left"/>
    </xf>
    <xf numFmtId="0" fontId="15" fillId="0" borderId="0" xfId="2" applyFont="1" applyAlignment="1">
      <alignment horizontal="left"/>
    </xf>
    <xf numFmtId="0" fontId="15" fillId="27" borderId="5" xfId="2" applyFont="1" applyFill="1" applyBorder="1" applyAlignment="1">
      <alignment horizontal="center" vertical="center"/>
    </xf>
    <xf numFmtId="16" fontId="15" fillId="28" borderId="5" xfId="2" applyNumberFormat="1" applyFont="1" applyFill="1" applyBorder="1" applyAlignment="1">
      <alignment horizontal="center"/>
    </xf>
    <xf numFmtId="169" fontId="15" fillId="28" borderId="5" xfId="2" applyNumberFormat="1" applyFont="1" applyFill="1" applyBorder="1" applyAlignment="1">
      <alignment horizontal="center"/>
    </xf>
    <xf numFmtId="0" fontId="16" fillId="20" borderId="0" xfId="2" applyFont="1" applyFill="1" applyAlignment="1">
      <alignment horizontal="center"/>
    </xf>
    <xf numFmtId="174" fontId="15" fillId="0" borderId="6" xfId="2" applyNumberFormat="1" applyFont="1" applyBorder="1" applyAlignment="1">
      <alignment horizontal="center"/>
    </xf>
    <xf numFmtId="0" fontId="20" fillId="0" borderId="5" xfId="2" applyFont="1" applyBorder="1" applyAlignment="1">
      <alignment horizontal="center"/>
    </xf>
    <xf numFmtId="0" fontId="15" fillId="27" borderId="68" xfId="2" applyFont="1" applyFill="1" applyBorder="1" applyAlignment="1">
      <alignment horizontal="center"/>
    </xf>
    <xf numFmtId="0" fontId="16" fillId="38" borderId="19" xfId="2" applyFont="1" applyFill="1" applyBorder="1" applyAlignment="1">
      <alignment horizontal="center"/>
    </xf>
    <xf numFmtId="0" fontId="15" fillId="28" borderId="6" xfId="2" applyFont="1" applyFill="1" applyBorder="1"/>
    <xf numFmtId="0" fontId="15" fillId="6" borderId="19" xfId="2" applyFont="1" applyFill="1" applyBorder="1" applyAlignment="1">
      <alignment horizontal="center"/>
    </xf>
    <xf numFmtId="0" fontId="15" fillId="6" borderId="5" xfId="2" applyFont="1" applyFill="1" applyBorder="1" applyAlignment="1">
      <alignment horizontal="center"/>
    </xf>
    <xf numFmtId="0" fontId="16" fillId="38" borderId="5" xfId="2" applyFont="1" applyFill="1" applyBorder="1" applyAlignment="1">
      <alignment horizontal="center"/>
    </xf>
    <xf numFmtId="0" fontId="15" fillId="21" borderId="5" xfId="2" applyFont="1" applyFill="1" applyBorder="1" applyAlignment="1">
      <alignment horizontal="center"/>
    </xf>
    <xf numFmtId="0" fontId="15" fillId="46" borderId="1" xfId="2" applyFont="1" applyFill="1" applyBorder="1" applyAlignment="1">
      <alignment horizontal="left"/>
    </xf>
    <xf numFmtId="20" fontId="15" fillId="22" borderId="5" xfId="2" applyNumberFormat="1" applyFont="1" applyFill="1" applyBorder="1" applyAlignment="1">
      <alignment horizontal="center"/>
    </xf>
    <xf numFmtId="2" fontId="16" fillId="22" borderId="5" xfId="2" applyNumberFormat="1" applyFont="1" applyFill="1" applyBorder="1" applyAlignment="1">
      <alignment horizontal="center"/>
    </xf>
    <xf numFmtId="20" fontId="16" fillId="0" borderId="6" xfId="2" applyNumberFormat="1" applyFont="1" applyBorder="1" applyAlignment="1">
      <alignment horizontal="center"/>
    </xf>
    <xf numFmtId="16" fontId="16" fillId="0" borderId="6" xfId="2" applyNumberFormat="1" applyFont="1" applyBorder="1" applyAlignment="1">
      <alignment horizontal="center"/>
    </xf>
    <xf numFmtId="0" fontId="16" fillId="0" borderId="6" xfId="2" applyFont="1" applyBorder="1" applyAlignment="1">
      <alignment horizontal="center"/>
    </xf>
    <xf numFmtId="169" fontId="16" fillId="0" borderId="6" xfId="2" applyNumberFormat="1" applyFont="1" applyBorder="1" applyAlignment="1">
      <alignment horizontal="center"/>
    </xf>
    <xf numFmtId="20" fontId="47" fillId="0" borderId="5" xfId="2" applyNumberFormat="1" applyFont="1" applyBorder="1" applyAlignment="1">
      <alignment horizontal="center"/>
    </xf>
    <xf numFmtId="16" fontId="47" fillId="0" borderId="5" xfId="2" applyNumberFormat="1" applyFont="1" applyBorder="1" applyAlignment="1">
      <alignment horizontal="center"/>
    </xf>
    <xf numFmtId="0" fontId="48" fillId="0" borderId="5" xfId="2" applyFont="1" applyBorder="1" applyAlignment="1">
      <alignment horizontal="center"/>
    </xf>
    <xf numFmtId="174" fontId="47" fillId="0" borderId="5" xfId="2" applyNumberFormat="1" applyFont="1" applyBorder="1" applyAlignment="1">
      <alignment horizontal="center"/>
    </xf>
    <xf numFmtId="0" fontId="47" fillId="0" borderId="5" xfId="2" applyFont="1" applyBorder="1" applyAlignment="1">
      <alignment horizontal="center"/>
    </xf>
    <xf numFmtId="0" fontId="47" fillId="47" borderId="5" xfId="2" applyFont="1" applyFill="1" applyBorder="1" applyAlignment="1">
      <alignment horizontal="center"/>
    </xf>
    <xf numFmtId="0" fontId="16" fillId="22" borderId="5" xfId="2" applyFont="1" applyFill="1" applyBorder="1" applyAlignment="1">
      <alignment horizontal="center"/>
    </xf>
    <xf numFmtId="0" fontId="15" fillId="2" borderId="5" xfId="2" applyFont="1" applyFill="1" applyBorder="1" applyAlignment="1">
      <alignment horizontal="center"/>
    </xf>
    <xf numFmtId="20" fontId="49" fillId="0" borderId="5" xfId="2" applyNumberFormat="1" applyFont="1" applyBorder="1" applyAlignment="1">
      <alignment horizontal="center"/>
    </xf>
    <xf numFmtId="0" fontId="16" fillId="36" borderId="5" xfId="2" applyFont="1" applyFill="1" applyBorder="1" applyAlignment="1">
      <alignment horizontal="center"/>
    </xf>
    <xf numFmtId="16" fontId="16" fillId="22" borderId="5" xfId="2" applyNumberFormat="1" applyFont="1" applyFill="1" applyBorder="1" applyAlignment="1">
      <alignment horizontal="center"/>
    </xf>
    <xf numFmtId="167" fontId="16" fillId="22" borderId="5" xfId="2" applyNumberFormat="1" applyFont="1" applyFill="1" applyBorder="1" applyAlignment="1">
      <alignment horizontal="center"/>
    </xf>
    <xf numFmtId="169" fontId="16" fillId="22" borderId="5" xfId="2" applyNumberFormat="1" applyFont="1" applyFill="1" applyBorder="1" applyAlignment="1">
      <alignment horizontal="center"/>
    </xf>
    <xf numFmtId="20" fontId="16" fillId="22" borderId="5" xfId="2" applyNumberFormat="1" applyFont="1" applyFill="1" applyBorder="1" applyAlignment="1">
      <alignment horizontal="center"/>
    </xf>
    <xf numFmtId="169" fontId="16" fillId="0" borderId="19" xfId="2" applyNumberFormat="1" applyFont="1" applyBorder="1" applyAlignment="1">
      <alignment horizontal="center"/>
    </xf>
    <xf numFmtId="164" fontId="15" fillId="14" borderId="5" xfId="2" applyNumberFormat="1" applyFont="1" applyFill="1" applyBorder="1" applyAlignment="1">
      <alignment horizontal="center"/>
    </xf>
    <xf numFmtId="0" fontId="15" fillId="48" borderId="19" xfId="2" applyFont="1" applyFill="1" applyBorder="1" applyAlignment="1">
      <alignment horizontal="center"/>
    </xf>
    <xf numFmtId="20" fontId="15" fillId="48" borderId="5" xfId="2" applyNumberFormat="1" applyFont="1" applyFill="1" applyBorder="1" applyAlignment="1">
      <alignment horizontal="center"/>
    </xf>
    <xf numFmtId="16" fontId="15" fillId="48" borderId="5" xfId="2" applyNumberFormat="1" applyFont="1" applyFill="1" applyBorder="1" applyAlignment="1">
      <alignment horizontal="center"/>
    </xf>
    <xf numFmtId="167" fontId="15" fillId="48" borderId="5" xfId="2" applyNumberFormat="1" applyFont="1" applyFill="1" applyBorder="1" applyAlignment="1">
      <alignment horizontal="center"/>
    </xf>
    <xf numFmtId="0" fontId="15" fillId="48" borderId="5" xfId="2" applyFont="1" applyFill="1" applyBorder="1" applyAlignment="1">
      <alignment horizontal="center"/>
    </xf>
    <xf numFmtId="169" fontId="15" fillId="48" borderId="19" xfId="2" applyNumberFormat="1" applyFont="1" applyFill="1" applyBorder="1" applyAlignment="1">
      <alignment horizontal="center"/>
    </xf>
    <xf numFmtId="20" fontId="18" fillId="0" borderId="5" xfId="2" applyNumberFormat="1" applyFont="1" applyBorder="1" applyAlignment="1">
      <alignment horizontal="center"/>
    </xf>
    <xf numFmtId="16" fontId="18" fillId="0" borderId="5" xfId="2" applyNumberFormat="1" applyFont="1" applyBorder="1" applyAlignment="1">
      <alignment horizontal="center"/>
    </xf>
    <xf numFmtId="0" fontId="18" fillId="27" borderId="5" xfId="2" applyFont="1" applyFill="1" applyBorder="1" applyAlignment="1">
      <alignment horizontal="center"/>
    </xf>
    <xf numFmtId="0" fontId="39" fillId="0" borderId="0" xfId="2" applyFont="1"/>
    <xf numFmtId="0" fontId="50" fillId="0" borderId="5" xfId="2" applyFont="1" applyBorder="1" applyAlignment="1">
      <alignment horizontal="center"/>
    </xf>
    <xf numFmtId="0" fontId="15" fillId="25" borderId="5" xfId="2" applyFont="1" applyFill="1" applyBorder="1" applyAlignment="1">
      <alignment horizontal="center"/>
    </xf>
    <xf numFmtId="0" fontId="15" fillId="0" borderId="69" xfId="2" applyFont="1" applyBorder="1" applyAlignment="1">
      <alignment horizontal="center"/>
    </xf>
    <xf numFmtId="20" fontId="15" fillId="0" borderId="70" xfId="2" applyNumberFormat="1" applyFont="1" applyBorder="1" applyAlignment="1">
      <alignment horizontal="center"/>
    </xf>
    <xf numFmtId="16" fontId="15" fillId="0" borderId="70" xfId="2" applyNumberFormat="1" applyFont="1" applyBorder="1" applyAlignment="1">
      <alignment horizontal="center"/>
    </xf>
    <xf numFmtId="0" fontId="15" fillId="0" borderId="70" xfId="2" applyFont="1" applyBorder="1" applyAlignment="1">
      <alignment horizontal="center"/>
    </xf>
    <xf numFmtId="0" fontId="15" fillId="25" borderId="71" xfId="2" applyFont="1" applyFill="1" applyBorder="1" applyAlignment="1">
      <alignment horizontal="center"/>
    </xf>
    <xf numFmtId="169" fontId="15" fillId="0" borderId="37" xfId="2" applyNumberFormat="1" applyFont="1" applyBorder="1" applyAlignment="1">
      <alignment horizontal="center"/>
    </xf>
    <xf numFmtId="0" fontId="15" fillId="27" borderId="1" xfId="2" applyFont="1" applyFill="1" applyBorder="1" applyAlignment="1">
      <alignment horizontal="center"/>
    </xf>
    <xf numFmtId="0" fontId="16" fillId="0" borderId="5" xfId="2" applyFont="1" applyBorder="1" applyAlignment="1">
      <alignment horizontal="center" shrinkToFit="1"/>
    </xf>
    <xf numFmtId="0" fontId="51" fillId="0" borderId="5" xfId="2" applyFont="1" applyBorder="1" applyAlignment="1">
      <alignment horizontal="center"/>
    </xf>
    <xf numFmtId="176" fontId="15" fillId="0" borderId="6" xfId="2" applyNumberFormat="1" applyFont="1" applyBorder="1" applyAlignment="1">
      <alignment horizontal="center"/>
    </xf>
    <xf numFmtId="0" fontId="15" fillId="5" borderId="1" xfId="2" applyFont="1" applyFill="1" applyBorder="1" applyAlignment="1">
      <alignment horizontal="centerContinuous"/>
    </xf>
    <xf numFmtId="0" fontId="15" fillId="23" borderId="19" xfId="2" applyFont="1" applyFill="1" applyBorder="1" applyAlignment="1">
      <alignment horizontal="center"/>
    </xf>
    <xf numFmtId="0" fontId="15" fillId="29" borderId="1" xfId="2" applyFont="1" applyFill="1" applyBorder="1" applyAlignment="1">
      <alignment horizontal="centerContinuous"/>
    </xf>
    <xf numFmtId="16" fontId="15" fillId="0" borderId="0" xfId="2" applyNumberFormat="1" applyFont="1"/>
    <xf numFmtId="176" fontId="15" fillId="0" borderId="5" xfId="2" applyNumberFormat="1" applyFont="1" applyBorder="1" applyAlignment="1">
      <alignment horizontal="center"/>
    </xf>
    <xf numFmtId="0" fontId="15" fillId="46" borderId="1" xfId="2" applyFont="1" applyFill="1" applyBorder="1" applyAlignment="1">
      <alignment horizontal="centerContinuous"/>
    </xf>
    <xf numFmtId="0" fontId="15" fillId="27" borderId="1" xfId="2" applyFont="1" applyFill="1" applyBorder="1" applyAlignment="1">
      <alignment horizontal="centerContinuous"/>
    </xf>
    <xf numFmtId="0" fontId="15" fillId="49" borderId="5" xfId="2" applyFont="1" applyFill="1" applyBorder="1" applyAlignment="1">
      <alignment horizontal="center"/>
    </xf>
    <xf numFmtId="20" fontId="18" fillId="14" borderId="5" xfId="2" applyNumberFormat="1" applyFont="1" applyFill="1" applyBorder="1" applyAlignment="1">
      <alignment horizontal="center"/>
    </xf>
    <xf numFmtId="16" fontId="18" fillId="14" borderId="5" xfId="2" applyNumberFormat="1" applyFont="1" applyFill="1" applyBorder="1" applyAlignment="1">
      <alignment horizontal="center"/>
    </xf>
    <xf numFmtId="0" fontId="15" fillId="16" borderId="5" xfId="2" applyFont="1" applyFill="1" applyBorder="1" applyAlignment="1">
      <alignment horizontal="center"/>
    </xf>
    <xf numFmtId="20" fontId="16" fillId="0" borderId="72" xfId="2" applyNumberFormat="1" applyFont="1" applyBorder="1" applyAlignment="1">
      <alignment horizontal="center"/>
    </xf>
    <xf numFmtId="16" fontId="16" fillId="0" borderId="72" xfId="2" applyNumberFormat="1" applyFont="1" applyBorder="1" applyAlignment="1">
      <alignment horizontal="center"/>
    </xf>
    <xf numFmtId="0" fontId="16" fillId="0" borderId="72" xfId="2" applyFont="1" applyBorder="1" applyAlignment="1">
      <alignment horizontal="center"/>
    </xf>
    <xf numFmtId="169" fontId="16" fillId="0" borderId="37" xfId="2" applyNumberFormat="1" applyFont="1" applyBorder="1" applyAlignment="1">
      <alignment horizontal="center"/>
    </xf>
    <xf numFmtId="169" fontId="16" fillId="26" borderId="5" xfId="2" applyNumberFormat="1" applyFont="1" applyFill="1" applyBorder="1" applyAlignment="1">
      <alignment horizontal="center"/>
    </xf>
    <xf numFmtId="174" fontId="16" fillId="14" borderId="5" xfId="2" applyNumberFormat="1" applyFont="1" applyFill="1" applyBorder="1" applyAlignment="1">
      <alignment horizontal="center"/>
    </xf>
    <xf numFmtId="169" fontId="45" fillId="14" borderId="5" xfId="2" applyNumberFormat="1" applyFont="1" applyFill="1" applyBorder="1" applyAlignment="1">
      <alignment horizontal="center"/>
    </xf>
    <xf numFmtId="0" fontId="41" fillId="34" borderId="13" xfId="2" applyFont="1" applyFill="1" applyBorder="1" applyAlignment="1">
      <alignment horizontal="center" vertical="center"/>
    </xf>
    <xf numFmtId="0" fontId="41" fillId="34" borderId="14" xfId="2" applyFont="1" applyFill="1" applyBorder="1" applyAlignment="1">
      <alignment horizontal="center" vertical="center"/>
    </xf>
    <xf numFmtId="0" fontId="17" fillId="36" borderId="0" xfId="2" applyFont="1" applyFill="1" applyAlignment="1">
      <alignment horizontal="center"/>
    </xf>
    <xf numFmtId="0" fontId="15" fillId="16" borderId="19" xfId="2" applyFont="1" applyFill="1" applyBorder="1" applyAlignment="1">
      <alignment horizontal="center"/>
    </xf>
    <xf numFmtId="20" fontId="16" fillId="15" borderId="0" xfId="2" applyNumberFormat="1" applyFont="1" applyFill="1" applyAlignment="1">
      <alignment horizontal="center"/>
    </xf>
    <xf numFmtId="16" fontId="16" fillId="15" borderId="0" xfId="2" applyNumberFormat="1" applyFont="1" applyFill="1" applyAlignment="1">
      <alignment horizontal="center"/>
    </xf>
    <xf numFmtId="0" fontId="16" fillId="15" borderId="0" xfId="2" applyFont="1" applyFill="1" applyAlignment="1">
      <alignment horizontal="center"/>
    </xf>
    <xf numFmtId="2" fontId="15" fillId="15" borderId="6" xfId="2" applyNumberFormat="1" applyFont="1" applyFill="1" applyBorder="1" applyAlignment="1">
      <alignment horizontal="center"/>
    </xf>
    <xf numFmtId="0" fontId="18" fillId="0" borderId="5" xfId="2" applyFont="1" applyBorder="1" applyAlignment="1">
      <alignment horizontal="center" shrinkToFit="1"/>
    </xf>
    <xf numFmtId="0" fontId="15" fillId="23" borderId="69" xfId="2" applyFont="1" applyFill="1" applyBorder="1" applyAlignment="1">
      <alignment horizontal="center"/>
    </xf>
    <xf numFmtId="20" fontId="15" fillId="21" borderId="70" xfId="2" applyNumberFormat="1" applyFont="1" applyFill="1" applyBorder="1" applyAlignment="1">
      <alignment horizontal="center"/>
    </xf>
    <xf numFmtId="16" fontId="15" fillId="21" borderId="70" xfId="2" applyNumberFormat="1" applyFont="1" applyFill="1" applyBorder="1" applyAlignment="1">
      <alignment horizontal="center"/>
    </xf>
    <xf numFmtId="0" fontId="15" fillId="21" borderId="70" xfId="2" applyFont="1" applyFill="1" applyBorder="1" applyAlignment="1">
      <alignment horizontal="center"/>
    </xf>
    <xf numFmtId="169" fontId="16" fillId="21" borderId="37" xfId="2" applyNumberFormat="1" applyFont="1" applyFill="1" applyBorder="1" applyAlignment="1">
      <alignment horizontal="center"/>
    </xf>
    <xf numFmtId="0" fontId="15" fillId="23" borderId="0" xfId="2" applyFont="1" applyFill="1" applyAlignment="1">
      <alignment horizontal="center"/>
    </xf>
    <xf numFmtId="20" fontId="15" fillId="15" borderId="0" xfId="2" applyNumberFormat="1" applyFont="1" applyFill="1" applyAlignment="1">
      <alignment horizontal="center"/>
    </xf>
    <xf numFmtId="16" fontId="15" fillId="15" borderId="0" xfId="2" applyNumberFormat="1" applyFont="1" applyFill="1" applyAlignment="1">
      <alignment horizontal="center"/>
    </xf>
    <xf numFmtId="0" fontId="15" fillId="15" borderId="0" xfId="2" applyFont="1" applyFill="1" applyAlignment="1">
      <alignment horizontal="center"/>
    </xf>
    <xf numFmtId="169" fontId="45" fillId="40" borderId="5" xfId="2" applyNumberFormat="1" applyFont="1" applyFill="1" applyBorder="1" applyAlignment="1">
      <alignment horizontal="center"/>
    </xf>
    <xf numFmtId="20" fontId="15" fillId="0" borderId="72" xfId="2" applyNumberFormat="1" applyFont="1" applyBorder="1" applyAlignment="1">
      <alignment horizontal="center"/>
    </xf>
    <xf numFmtId="16" fontId="15" fillId="0" borderId="72" xfId="2" applyNumberFormat="1" applyFont="1" applyBorder="1" applyAlignment="1">
      <alignment horizontal="center"/>
    </xf>
    <xf numFmtId="0" fontId="15" fillId="0" borderId="72" xfId="2" applyFont="1" applyBorder="1" applyAlignment="1">
      <alignment horizontal="center"/>
    </xf>
    <xf numFmtId="169" fontId="16" fillId="0" borderId="65" xfId="2" applyNumberFormat="1" applyFont="1" applyBorder="1" applyAlignment="1">
      <alignment horizontal="center"/>
    </xf>
    <xf numFmtId="0" fontId="15" fillId="29" borderId="68" xfId="2" applyFont="1" applyFill="1" applyBorder="1" applyAlignment="1">
      <alignment horizontal="center"/>
    </xf>
    <xf numFmtId="20" fontId="15" fillId="10" borderId="0" xfId="2" applyNumberFormat="1" applyFont="1" applyFill="1" applyAlignment="1">
      <alignment horizontal="center"/>
    </xf>
    <xf numFmtId="16" fontId="15" fillId="10" borderId="0" xfId="2" applyNumberFormat="1" applyFont="1" applyFill="1" applyAlignment="1">
      <alignment horizontal="center"/>
    </xf>
    <xf numFmtId="0" fontId="15" fillId="10" borderId="0" xfId="2" applyFont="1" applyFill="1" applyAlignment="1">
      <alignment horizontal="center"/>
    </xf>
    <xf numFmtId="0" fontId="43" fillId="10" borderId="0" xfId="2" applyFont="1" applyFill="1" applyAlignment="1">
      <alignment horizontal="center"/>
    </xf>
    <xf numFmtId="0" fontId="15" fillId="16" borderId="0" xfId="2" applyFont="1" applyFill="1" applyAlignment="1">
      <alignment horizontal="center"/>
    </xf>
    <xf numFmtId="20" fontId="15" fillId="15" borderId="5" xfId="2" applyNumberFormat="1" applyFont="1" applyFill="1" applyBorder="1" applyAlignment="1">
      <alignment horizontal="center"/>
    </xf>
    <xf numFmtId="16" fontId="15" fillId="15" borderId="5" xfId="2" applyNumberFormat="1" applyFont="1" applyFill="1" applyBorder="1" applyAlignment="1">
      <alignment horizontal="center"/>
    </xf>
    <xf numFmtId="0" fontId="15" fillId="15" borderId="5" xfId="2" applyFont="1" applyFill="1" applyBorder="1" applyAlignment="1">
      <alignment horizontal="center"/>
    </xf>
    <xf numFmtId="174" fontId="15" fillId="14" borderId="6" xfId="2" applyNumberFormat="1" applyFont="1" applyFill="1" applyBorder="1" applyAlignment="1">
      <alignment horizontal="center"/>
    </xf>
    <xf numFmtId="0" fontId="15" fillId="21" borderId="19" xfId="2" applyFont="1" applyFill="1" applyBorder="1" applyAlignment="1">
      <alignment horizontal="center"/>
    </xf>
    <xf numFmtId="2" fontId="15" fillId="40" borderId="6" xfId="2" applyNumberFormat="1" applyFont="1" applyFill="1" applyBorder="1" applyAlignment="1">
      <alignment horizontal="center"/>
    </xf>
    <xf numFmtId="0" fontId="15" fillId="0" borderId="73" xfId="2" applyFont="1" applyBorder="1" applyAlignment="1">
      <alignment horizontal="center" vertical="center"/>
    </xf>
    <xf numFmtId="14" fontId="15" fillId="0" borderId="73" xfId="2" applyNumberFormat="1" applyFont="1" applyBorder="1" applyAlignment="1">
      <alignment horizontal="center"/>
    </xf>
    <xf numFmtId="167" fontId="15" fillId="0" borderId="73" xfId="2" applyNumberFormat="1" applyFont="1" applyBorder="1" applyAlignment="1">
      <alignment horizontal="center" vertical="center"/>
    </xf>
    <xf numFmtId="0" fontId="15" fillId="0" borderId="73" xfId="2" applyFont="1" applyBorder="1" applyAlignment="1">
      <alignment horizontal="center"/>
    </xf>
    <xf numFmtId="0" fontId="15" fillId="0" borderId="74" xfId="2" applyFont="1" applyBorder="1" applyAlignment="1">
      <alignment horizontal="center"/>
    </xf>
    <xf numFmtId="0" fontId="15" fillId="21" borderId="0" xfId="2" applyFont="1" applyFill="1" applyAlignment="1">
      <alignment horizontal="center"/>
    </xf>
    <xf numFmtId="2" fontId="52" fillId="0" borderId="5" xfId="2" applyNumberFormat="1" applyFont="1" applyBorder="1" applyAlignment="1">
      <alignment horizontal="center"/>
    </xf>
    <xf numFmtId="0" fontId="15" fillId="25" borderId="9" xfId="2" applyFont="1" applyFill="1" applyBorder="1" applyAlignment="1">
      <alignment horizontal="center"/>
    </xf>
    <xf numFmtId="0" fontId="15" fillId="16" borderId="69" xfId="2" applyFont="1" applyFill="1" applyBorder="1" applyAlignment="1">
      <alignment horizontal="center"/>
    </xf>
    <xf numFmtId="169" fontId="16" fillId="0" borderId="20" xfId="2" applyNumberFormat="1" applyFont="1" applyBorder="1" applyAlignment="1">
      <alignment horizontal="center"/>
    </xf>
    <xf numFmtId="169" fontId="45" fillId="40" borderId="6" xfId="2" applyNumberFormat="1" applyFont="1" applyFill="1" applyBorder="1" applyAlignment="1">
      <alignment horizontal="center"/>
    </xf>
    <xf numFmtId="0" fontId="15" fillId="0" borderId="75" xfId="2" applyFont="1" applyBorder="1" applyAlignment="1">
      <alignment horizontal="center" vertical="center"/>
    </xf>
    <xf numFmtId="0" fontId="15" fillId="18" borderId="1" xfId="2" applyFont="1" applyFill="1" applyBorder="1" applyAlignment="1">
      <alignment horizontal="center" vertical="center"/>
    </xf>
    <xf numFmtId="14" fontId="15" fillId="18" borderId="1" xfId="2" applyNumberFormat="1" applyFont="1" applyFill="1" applyBorder="1" applyAlignment="1">
      <alignment horizontal="center"/>
    </xf>
    <xf numFmtId="167" fontId="15" fillId="18" borderId="1" xfId="2" applyNumberFormat="1" applyFont="1" applyFill="1" applyBorder="1" applyAlignment="1">
      <alignment horizontal="center" vertical="center"/>
    </xf>
    <xf numFmtId="0" fontId="15" fillId="18" borderId="1" xfId="2" applyFont="1" applyFill="1" applyBorder="1" applyAlignment="1">
      <alignment horizontal="center"/>
    </xf>
    <xf numFmtId="176" fontId="15" fillId="18" borderId="1" xfId="2" applyNumberFormat="1" applyFont="1" applyFill="1" applyBorder="1" applyAlignment="1">
      <alignment horizontal="center" vertical="center"/>
    </xf>
    <xf numFmtId="2" fontId="16" fillId="35" borderId="5" xfId="2" applyNumberFormat="1" applyFont="1" applyFill="1" applyBorder="1" applyAlignment="1">
      <alignment horizontal="center"/>
    </xf>
    <xf numFmtId="0" fontId="15" fillId="30" borderId="0" xfId="2" applyFont="1" applyFill="1"/>
    <xf numFmtId="20" fontId="15" fillId="0" borderId="20" xfId="2" applyNumberFormat="1" applyFont="1" applyBorder="1" applyAlignment="1">
      <alignment horizontal="center"/>
    </xf>
    <xf numFmtId="0" fontId="15" fillId="0" borderId="5" xfId="2" applyFont="1" applyBorder="1" applyAlignment="1">
      <alignment horizontal="left"/>
    </xf>
    <xf numFmtId="0" fontId="15" fillId="22" borderId="19" xfId="2" applyFont="1" applyFill="1" applyBorder="1" applyAlignment="1">
      <alignment horizontal="center"/>
    </xf>
    <xf numFmtId="16" fontId="16" fillId="0" borderId="0" xfId="2" applyNumberFormat="1" applyFont="1" applyAlignment="1">
      <alignment horizontal="center"/>
    </xf>
    <xf numFmtId="0" fontId="46" fillId="0" borderId="5" xfId="2" applyFont="1" applyBorder="1" applyAlignment="1">
      <alignment horizontal="center"/>
    </xf>
    <xf numFmtId="2" fontId="45" fillId="0" borderId="5" xfId="2" applyNumberFormat="1" applyFont="1" applyBorder="1" applyAlignment="1">
      <alignment horizontal="center"/>
    </xf>
    <xf numFmtId="0" fontId="16" fillId="43" borderId="5" xfId="2" applyFont="1" applyFill="1" applyBorder="1" applyAlignment="1">
      <alignment horizontal="center"/>
    </xf>
    <xf numFmtId="0" fontId="16" fillId="14" borderId="5" xfId="2" applyFont="1" applyFill="1" applyBorder="1" applyAlignment="1">
      <alignment horizontal="center"/>
    </xf>
    <xf numFmtId="20" fontId="15" fillId="14" borderId="20" xfId="2" applyNumberFormat="1" applyFont="1" applyFill="1" applyBorder="1" applyAlignment="1">
      <alignment horizontal="center"/>
    </xf>
    <xf numFmtId="0" fontId="15" fillId="14" borderId="6" xfId="2" applyFont="1" applyFill="1" applyBorder="1" applyAlignment="1">
      <alignment horizontal="center"/>
    </xf>
    <xf numFmtId="2" fontId="16" fillId="14" borderId="5" xfId="2" applyNumberFormat="1" applyFont="1" applyFill="1" applyBorder="1" applyAlignment="1">
      <alignment horizontal="center"/>
    </xf>
    <xf numFmtId="0" fontId="53" fillId="2" borderId="0" xfId="2" applyFont="1" applyFill="1" applyAlignment="1">
      <alignment horizontal="center"/>
    </xf>
    <xf numFmtId="0" fontId="16" fillId="6" borderId="5" xfId="2" applyFont="1" applyFill="1" applyBorder="1" applyAlignment="1">
      <alignment horizontal="center"/>
    </xf>
    <xf numFmtId="0" fontId="54" fillId="0" borderId="5" xfId="2" applyFont="1" applyBorder="1" applyAlignment="1">
      <alignment horizontal="center"/>
    </xf>
    <xf numFmtId="0" fontId="15" fillId="50" borderId="1" xfId="2" applyFont="1" applyFill="1" applyBorder="1" applyAlignment="1">
      <alignment horizontal="left"/>
    </xf>
    <xf numFmtId="0" fontId="15" fillId="50" borderId="68" xfId="2" applyFont="1" applyFill="1" applyBorder="1" applyAlignment="1">
      <alignment horizontal="center"/>
    </xf>
    <xf numFmtId="0" fontId="15" fillId="46" borderId="68" xfId="2" applyFont="1" applyFill="1" applyBorder="1" applyAlignment="1">
      <alignment horizontal="center"/>
    </xf>
    <xf numFmtId="0" fontId="15" fillId="0" borderId="76" xfId="2" applyFont="1" applyBorder="1" applyAlignment="1">
      <alignment horizontal="center"/>
    </xf>
    <xf numFmtId="169" fontId="16" fillId="0" borderId="70" xfId="2" applyNumberFormat="1" applyFont="1" applyBorder="1" applyAlignment="1">
      <alignment horizontal="center"/>
    </xf>
    <xf numFmtId="1" fontId="16" fillId="26" borderId="5" xfId="2" applyNumberFormat="1" applyFont="1" applyFill="1" applyBorder="1" applyAlignment="1">
      <alignment horizontal="center"/>
    </xf>
    <xf numFmtId="169" fontId="16" fillId="26" borderId="6" xfId="2" applyNumberFormat="1" applyFont="1" applyFill="1" applyBorder="1" applyAlignment="1">
      <alignment horizontal="center"/>
    </xf>
    <xf numFmtId="169" fontId="16" fillId="0" borderId="28" xfId="2" applyNumberFormat="1" applyFont="1" applyBorder="1" applyAlignment="1">
      <alignment horizontal="center"/>
    </xf>
    <xf numFmtId="20" fontId="16" fillId="28" borderId="5" xfId="2" applyNumberFormat="1" applyFont="1" applyFill="1" applyBorder="1" applyAlignment="1">
      <alignment horizontal="center"/>
    </xf>
    <xf numFmtId="16" fontId="16" fillId="28" borderId="5" xfId="2" applyNumberFormat="1" applyFont="1" applyFill="1" applyBorder="1" applyAlignment="1">
      <alignment horizontal="center"/>
    </xf>
    <xf numFmtId="0" fontId="16" fillId="28" borderId="5" xfId="2" applyFont="1" applyFill="1" applyBorder="1" applyAlignment="1">
      <alignment horizontal="center"/>
    </xf>
    <xf numFmtId="169" fontId="16" fillId="28" borderId="5" xfId="2" applyNumberFormat="1" applyFont="1" applyFill="1" applyBorder="1" applyAlignment="1">
      <alignment horizontal="center"/>
    </xf>
    <xf numFmtId="20" fontId="45" fillId="0" borderId="5" xfId="2" applyNumberFormat="1" applyFont="1" applyBorder="1" applyAlignment="1">
      <alignment horizontal="center"/>
    </xf>
    <xf numFmtId="16" fontId="45" fillId="0" borderId="5" xfId="2" applyNumberFormat="1" applyFont="1" applyBorder="1" applyAlignment="1">
      <alignment horizontal="center"/>
    </xf>
    <xf numFmtId="0" fontId="45" fillId="0" borderId="5" xfId="2" applyFont="1" applyBorder="1" applyAlignment="1">
      <alignment horizontal="center"/>
    </xf>
    <xf numFmtId="0" fontId="45" fillId="0" borderId="19" xfId="2" applyFont="1" applyBorder="1" applyAlignment="1">
      <alignment horizontal="center"/>
    </xf>
    <xf numFmtId="0" fontId="16" fillId="26" borderId="0" xfId="2" applyFont="1" applyFill="1" applyAlignment="1">
      <alignment horizontal="center"/>
    </xf>
    <xf numFmtId="0" fontId="18" fillId="14" borderId="5" xfId="2" applyFont="1" applyFill="1" applyBorder="1" applyAlignment="1">
      <alignment horizontal="center" shrinkToFit="1"/>
    </xf>
    <xf numFmtId="14" fontId="15" fillId="0" borderId="1" xfId="2" applyNumberFormat="1" applyFont="1" applyBorder="1" applyAlignment="1">
      <alignment horizontal="center"/>
    </xf>
    <xf numFmtId="167" fontId="15" fillId="0" borderId="1" xfId="2" applyNumberFormat="1" applyFont="1" applyBorder="1" applyAlignment="1">
      <alignment horizontal="center" vertical="center"/>
    </xf>
    <xf numFmtId="176" fontId="15" fillId="0" borderId="1" xfId="2" applyNumberFormat="1" applyFont="1" applyBorder="1" applyAlignment="1">
      <alignment horizontal="center" vertical="center"/>
    </xf>
    <xf numFmtId="0" fontId="15" fillId="46" borderId="1" xfId="2" applyFont="1" applyFill="1" applyBorder="1" applyAlignment="1">
      <alignment horizontal="center"/>
    </xf>
    <xf numFmtId="16" fontId="15" fillId="0" borderId="1" xfId="2" applyNumberFormat="1" applyFont="1" applyBorder="1" applyAlignment="1">
      <alignment horizontal="center"/>
    </xf>
    <xf numFmtId="0" fontId="16" fillId="26" borderId="6" xfId="2" applyFont="1" applyFill="1" applyBorder="1" applyAlignment="1">
      <alignment horizontal="center"/>
    </xf>
    <xf numFmtId="0" fontId="16" fillId="42" borderId="19" xfId="2" applyFont="1" applyFill="1" applyBorder="1" applyAlignment="1">
      <alignment horizontal="center"/>
    </xf>
    <xf numFmtId="16" fontId="15" fillId="42" borderId="5" xfId="2" applyNumberFormat="1" applyFont="1" applyFill="1" applyBorder="1" applyAlignment="1">
      <alignment horizontal="center"/>
    </xf>
    <xf numFmtId="0" fontId="17" fillId="42" borderId="72" xfId="2" applyFont="1" applyFill="1" applyBorder="1" applyAlignment="1">
      <alignment horizontal="center"/>
    </xf>
    <xf numFmtId="0" fontId="15" fillId="20" borderId="0" xfId="2" applyFont="1" applyFill="1" applyAlignment="1">
      <alignment horizontal="left"/>
    </xf>
    <xf numFmtId="169" fontId="16" fillId="0" borderId="72" xfId="2" applyNumberFormat="1" applyFont="1" applyBorder="1" applyAlignment="1">
      <alignment horizontal="center"/>
    </xf>
    <xf numFmtId="169" fontId="15" fillId="0" borderId="72" xfId="2" applyNumberFormat="1" applyFont="1" applyBorder="1" applyAlignment="1">
      <alignment horizontal="center"/>
    </xf>
    <xf numFmtId="20" fontId="18" fillId="35" borderId="5" xfId="2" applyNumberFormat="1" applyFont="1" applyFill="1" applyBorder="1" applyAlignment="1">
      <alignment horizontal="center"/>
    </xf>
    <xf numFmtId="16" fontId="18" fillId="35" borderId="5" xfId="2" applyNumberFormat="1" applyFont="1" applyFill="1" applyBorder="1" applyAlignment="1">
      <alignment horizontal="center"/>
    </xf>
    <xf numFmtId="0" fontId="18" fillId="35" borderId="5" xfId="2" applyFont="1" applyFill="1" applyBorder="1" applyAlignment="1">
      <alignment horizontal="center"/>
    </xf>
    <xf numFmtId="16" fontId="17" fillId="0" borderId="5" xfId="2" applyNumberFormat="1" applyFont="1" applyBorder="1" applyAlignment="1">
      <alignment horizontal="center"/>
    </xf>
    <xf numFmtId="0" fontId="17" fillId="5" borderId="1" xfId="2" applyFont="1" applyFill="1" applyBorder="1" applyAlignment="1">
      <alignment horizontal="center"/>
    </xf>
    <xf numFmtId="0" fontId="15" fillId="29" borderId="1" xfId="2" applyFont="1" applyFill="1" applyBorder="1" applyAlignment="1">
      <alignment horizontal="center"/>
    </xf>
    <xf numFmtId="16" fontId="16" fillId="27" borderId="5" xfId="2" applyNumberFormat="1" applyFont="1" applyFill="1" applyBorder="1" applyAlignment="1">
      <alignment horizontal="center"/>
    </xf>
    <xf numFmtId="0" fontId="16" fillId="27" borderId="5" xfId="2" applyFont="1" applyFill="1" applyBorder="1" applyAlignment="1">
      <alignment horizontal="center"/>
    </xf>
    <xf numFmtId="0" fontId="15" fillId="0" borderId="77" xfId="2" applyFont="1" applyBorder="1" applyAlignment="1">
      <alignment horizontal="center"/>
    </xf>
    <xf numFmtId="0" fontId="15" fillId="16" borderId="24" xfId="2" applyFont="1" applyFill="1" applyBorder="1" applyAlignment="1">
      <alignment horizontal="center"/>
    </xf>
    <xf numFmtId="0" fontId="21" fillId="0" borderId="5" xfId="2" applyFont="1" applyBorder="1" applyAlignment="1">
      <alignment horizontal="center"/>
    </xf>
    <xf numFmtId="0" fontId="15" fillId="51" borderId="2" xfId="2" applyFont="1" applyFill="1" applyBorder="1" applyAlignment="1">
      <alignment horizontal="center"/>
    </xf>
    <xf numFmtId="174" fontId="16" fillId="35" borderId="5" xfId="2" applyNumberFormat="1" applyFont="1" applyFill="1" applyBorder="1" applyAlignment="1">
      <alignment horizontal="center"/>
    </xf>
    <xf numFmtId="0" fontId="15" fillId="19" borderId="0" xfId="2" applyFont="1" applyFill="1" applyAlignment="1">
      <alignment horizontal="center"/>
    </xf>
    <xf numFmtId="0" fontId="15" fillId="16" borderId="2" xfId="2" applyFont="1" applyFill="1" applyBorder="1" applyAlignment="1">
      <alignment horizontal="center"/>
    </xf>
    <xf numFmtId="20" fontId="15" fillId="5" borderId="5" xfId="2" applyNumberFormat="1" applyFont="1" applyFill="1" applyBorder="1" applyAlignment="1">
      <alignment horizontal="center"/>
    </xf>
    <xf numFmtId="16" fontId="15" fillId="5" borderId="5" xfId="2" applyNumberFormat="1" applyFont="1" applyFill="1" applyBorder="1" applyAlignment="1">
      <alignment horizontal="center"/>
    </xf>
    <xf numFmtId="0" fontId="15" fillId="5" borderId="5" xfId="2" applyFont="1" applyFill="1" applyBorder="1" applyAlignment="1">
      <alignment horizontal="center"/>
    </xf>
    <xf numFmtId="174" fontId="16" fillId="5" borderId="5" xfId="2" applyNumberFormat="1" applyFont="1" applyFill="1" applyBorder="1" applyAlignment="1">
      <alignment horizontal="center"/>
    </xf>
    <xf numFmtId="16" fontId="15" fillId="27" borderId="5" xfId="2" applyNumberFormat="1" applyFont="1" applyFill="1" applyBorder="1" applyAlignment="1">
      <alignment horizontal="center"/>
    </xf>
    <xf numFmtId="0" fontId="15" fillId="13" borderId="0" xfId="2" applyFont="1" applyFill="1" applyAlignment="1">
      <alignment horizontal="center"/>
    </xf>
    <xf numFmtId="0" fontId="15" fillId="5" borderId="0" xfId="2" applyFont="1" applyFill="1" applyAlignment="1">
      <alignment horizontal="center"/>
    </xf>
    <xf numFmtId="20" fontId="15" fillId="20" borderId="5" xfId="2" applyNumberFormat="1" applyFont="1" applyFill="1" applyBorder="1" applyAlignment="1">
      <alignment horizontal="center"/>
    </xf>
    <xf numFmtId="16" fontId="15" fillId="20" borderId="5" xfId="2" applyNumberFormat="1" applyFont="1" applyFill="1" applyBorder="1" applyAlignment="1">
      <alignment horizontal="center"/>
    </xf>
    <xf numFmtId="0" fontId="15" fillId="20" borderId="5" xfId="2" applyFont="1" applyFill="1" applyBorder="1" applyAlignment="1">
      <alignment horizontal="center"/>
    </xf>
    <xf numFmtId="169" fontId="15" fillId="20" borderId="5" xfId="2" applyNumberFormat="1" applyFont="1" applyFill="1" applyBorder="1" applyAlignment="1">
      <alignment horizontal="center"/>
    </xf>
    <xf numFmtId="0" fontId="15" fillId="27" borderId="0" xfId="2" applyFont="1" applyFill="1" applyAlignment="1">
      <alignment horizontal="left"/>
    </xf>
    <xf numFmtId="0" fontId="16" fillId="20" borderId="5" xfId="2" applyFont="1" applyFill="1" applyBorder="1" applyAlignment="1">
      <alignment horizontal="center"/>
    </xf>
    <xf numFmtId="0" fontId="19" fillId="0" borderId="5" xfId="2" applyFont="1" applyBorder="1" applyAlignment="1">
      <alignment horizontal="center"/>
    </xf>
    <xf numFmtId="16" fontId="16" fillId="0" borderId="52" xfId="2" applyNumberFormat="1" applyFont="1" applyBorder="1" applyAlignment="1">
      <alignment horizontal="center"/>
    </xf>
    <xf numFmtId="20" fontId="15" fillId="27" borderId="5" xfId="2" applyNumberFormat="1" applyFont="1" applyFill="1" applyBorder="1" applyAlignment="1">
      <alignment horizontal="center"/>
    </xf>
    <xf numFmtId="1" fontId="16" fillId="35" borderId="5" xfId="2" applyNumberFormat="1" applyFont="1" applyFill="1" applyBorder="1" applyAlignment="1">
      <alignment horizontal="center"/>
    </xf>
    <xf numFmtId="1" fontId="16" fillId="14" borderId="5" xfId="2" applyNumberFormat="1" applyFont="1" applyFill="1" applyBorder="1" applyAlignment="1">
      <alignment horizontal="center"/>
    </xf>
    <xf numFmtId="0" fontId="55" fillId="0" borderId="5" xfId="2" applyFont="1" applyBorder="1" applyAlignment="1">
      <alignment horizontal="center"/>
    </xf>
    <xf numFmtId="0" fontId="15" fillId="20" borderId="1" xfId="2" applyFont="1" applyFill="1" applyBorder="1" applyAlignment="1">
      <alignment horizontal="left"/>
    </xf>
    <xf numFmtId="0" fontId="15" fillId="20" borderId="1" xfId="2" applyFont="1" applyFill="1" applyBorder="1" applyAlignment="1">
      <alignment horizontal="center"/>
    </xf>
    <xf numFmtId="0" fontId="56" fillId="0" borderId="5" xfId="2" applyFont="1" applyBorder="1" applyAlignment="1">
      <alignment horizontal="center"/>
    </xf>
    <xf numFmtId="0" fontId="15" fillId="52" borderId="0" xfId="2" applyFont="1" applyFill="1" applyAlignment="1">
      <alignment horizontal="center"/>
    </xf>
    <xf numFmtId="0" fontId="15" fillId="28" borderId="0" xfId="2" applyFont="1" applyFill="1" applyAlignment="1">
      <alignment horizontal="left"/>
    </xf>
    <xf numFmtId="0" fontId="17" fillId="43" borderId="5" xfId="2" applyFont="1" applyFill="1" applyBorder="1" applyAlignment="1">
      <alignment horizontal="center"/>
    </xf>
    <xf numFmtId="20" fontId="15" fillId="43" borderId="5" xfId="2" applyNumberFormat="1" applyFont="1" applyFill="1" applyBorder="1" applyAlignment="1">
      <alignment horizontal="center"/>
    </xf>
    <xf numFmtId="0" fontId="15" fillId="41" borderId="5" xfId="2" applyFont="1" applyFill="1" applyBorder="1" applyAlignment="1">
      <alignment horizontal="center"/>
    </xf>
    <xf numFmtId="16" fontId="15" fillId="53" borderId="5" xfId="2" applyNumberFormat="1" applyFont="1" applyFill="1" applyBorder="1" applyAlignment="1">
      <alignment horizontal="center"/>
    </xf>
    <xf numFmtId="0" fontId="15" fillId="53" borderId="19" xfId="2" applyFont="1" applyFill="1" applyBorder="1" applyAlignment="1">
      <alignment horizontal="center"/>
    </xf>
    <xf numFmtId="0" fontId="15" fillId="53" borderId="5" xfId="2" applyFont="1" applyFill="1" applyBorder="1" applyAlignment="1">
      <alignment horizontal="center"/>
    </xf>
    <xf numFmtId="0" fontId="15" fillId="53" borderId="0" xfId="2" applyFont="1" applyFill="1" applyAlignment="1">
      <alignment horizontal="center"/>
    </xf>
    <xf numFmtId="16" fontId="15" fillId="53" borderId="0" xfId="2" applyNumberFormat="1" applyFont="1" applyFill="1" applyAlignment="1">
      <alignment horizontal="center"/>
    </xf>
    <xf numFmtId="22" fontId="42" fillId="2" borderId="28" xfId="2" applyNumberFormat="1" applyFont="1" applyFill="1" applyBorder="1" applyAlignment="1">
      <alignment horizontal="center" vertical="center"/>
    </xf>
    <xf numFmtId="0" fontId="15" fillId="54" borderId="0" xfId="2" applyFont="1" applyFill="1" applyAlignment="1">
      <alignment horizontal="center"/>
    </xf>
    <xf numFmtId="0" fontId="16" fillId="8" borderId="0" xfId="1" applyFont="1" applyFill="1"/>
    <xf numFmtId="0" fontId="15" fillId="8" borderId="0" xfId="1" applyFont="1" applyFill="1"/>
    <xf numFmtId="14" fontId="15" fillId="8" borderId="0" xfId="1" applyNumberFormat="1" applyFont="1" applyFill="1"/>
    <xf numFmtId="0" fontId="15" fillId="0" borderId="0" xfId="1" applyFont="1"/>
    <xf numFmtId="14" fontId="41" fillId="34" borderId="2" xfId="1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/>
    </xf>
    <xf numFmtId="178" fontId="15" fillId="0" borderId="0" xfId="1" applyNumberFormat="1" applyFont="1" applyAlignment="1">
      <alignment horizontal="center"/>
    </xf>
    <xf numFmtId="16" fontId="15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0" xfId="1" applyFont="1" applyAlignment="1">
      <alignment horizontal="center"/>
    </xf>
    <xf numFmtId="14" fontId="15" fillId="0" borderId="0" xfId="1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174" fontId="15" fillId="0" borderId="0" xfId="1" applyNumberFormat="1" applyFont="1" applyAlignment="1">
      <alignment horizontal="center"/>
    </xf>
    <xf numFmtId="0" fontId="16" fillId="11" borderId="0" xfId="1" applyFont="1" applyFill="1"/>
    <xf numFmtId="178" fontId="15" fillId="11" borderId="0" xfId="1" applyNumberFormat="1" applyFont="1" applyFill="1" applyAlignment="1">
      <alignment horizontal="center"/>
    </xf>
    <xf numFmtId="14" fontId="15" fillId="11" borderId="0" xfId="1" applyNumberFormat="1" applyFont="1" applyFill="1" applyAlignment="1">
      <alignment horizontal="center"/>
    </xf>
    <xf numFmtId="166" fontId="16" fillId="11" borderId="0" xfId="1" applyNumberFormat="1" applyFont="1" applyFill="1" applyAlignment="1">
      <alignment horizontal="center"/>
    </xf>
    <xf numFmtId="166" fontId="16" fillId="33" borderId="1" xfId="1" applyNumberFormat="1" applyFont="1" applyFill="1" applyBorder="1" applyAlignment="1">
      <alignment horizontal="center"/>
    </xf>
    <xf numFmtId="0" fontId="47" fillId="6" borderId="4" xfId="0" applyFont="1" applyFill="1" applyBorder="1" applyAlignment="1">
      <alignment horizontal="center" vertical="center"/>
    </xf>
    <xf numFmtId="164" fontId="47" fillId="6" borderId="4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817621AA-C94C-4CF5-A686-AF5DE9C2C7BA}"/>
    <cellStyle name="Normal 3 2" xfId="1" xr:uid="{BC30C74A-ADE4-4D04-94D8-1A71E253E9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1374321</xdr:colOff>
      <xdr:row>15</xdr:row>
      <xdr:rowOff>190500</xdr:rowOff>
    </xdr:from>
    <xdr:to>
      <xdr:col>22</xdr:col>
      <xdr:colOff>204107</xdr:colOff>
      <xdr:row>27</xdr:row>
      <xdr:rowOff>176893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E2B18081-3631-4E22-AA13-094A8978B310}"/>
            </a:ext>
          </a:extLst>
        </xdr:cNvPr>
        <xdr:cNvCxnSpPr/>
      </xdr:nvCxnSpPr>
      <xdr:spPr bwMode="auto">
        <a:xfrm flipH="1">
          <a:off x="17195346" y="453390000"/>
          <a:ext cx="7173686" cy="295819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1401536</xdr:colOff>
      <xdr:row>136</xdr:row>
      <xdr:rowOff>176893</xdr:rowOff>
    </xdr:from>
    <xdr:to>
      <xdr:col>22</xdr:col>
      <xdr:colOff>244928</xdr:colOff>
      <xdr:row>139</xdr:row>
      <xdr:rowOff>136070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1F35503-5CC1-4FBB-9C2D-797E07EB0405}"/>
            </a:ext>
          </a:extLst>
        </xdr:cNvPr>
        <xdr:cNvCxnSpPr/>
      </xdr:nvCxnSpPr>
      <xdr:spPr bwMode="auto">
        <a:xfrm flipH="1" flipV="1">
          <a:off x="17222561" y="483342043"/>
          <a:ext cx="7187292" cy="70212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150</xdr:row>
      <xdr:rowOff>231322</xdr:rowOff>
    </xdr:from>
    <xdr:to>
      <xdr:col>22</xdr:col>
      <xdr:colOff>242454</xdr:colOff>
      <xdr:row>155</xdr:row>
      <xdr:rowOff>103909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BE7E1D53-7CEF-40BA-9D16-A00DE2196297}"/>
            </a:ext>
          </a:extLst>
        </xdr:cNvPr>
        <xdr:cNvCxnSpPr/>
      </xdr:nvCxnSpPr>
      <xdr:spPr bwMode="auto">
        <a:xfrm flipH="1" flipV="1">
          <a:off x="17090571" y="45134893"/>
          <a:ext cx="7739990" cy="136937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1211035</xdr:colOff>
      <xdr:row>170</xdr:row>
      <xdr:rowOff>136072</xdr:rowOff>
    </xdr:from>
    <xdr:to>
      <xdr:col>22</xdr:col>
      <xdr:colOff>217714</xdr:colOff>
      <xdr:row>182</xdr:row>
      <xdr:rowOff>176893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7A3BF8F9-9F59-4A3B-B678-8D8943E9CB78}"/>
            </a:ext>
          </a:extLst>
        </xdr:cNvPr>
        <xdr:cNvCxnSpPr/>
      </xdr:nvCxnSpPr>
      <xdr:spPr bwMode="auto">
        <a:xfrm flipH="1" flipV="1">
          <a:off x="16886464" y="51026786"/>
          <a:ext cx="7919357" cy="363310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FAC5-2BE7-44DD-B6FE-4E60B0731B2B}">
  <sheetPr>
    <tabColor theme="0" tint="-4.9989318521683403E-2"/>
  </sheetPr>
  <dimension ref="C1:AA191"/>
  <sheetViews>
    <sheetView topLeftCell="C128" zoomScale="70" zoomScaleNormal="70" workbookViewId="0">
      <selection activeCell="F136" sqref="F136:M136"/>
    </sheetView>
  </sheetViews>
  <sheetFormatPr baseColWidth="10" defaultRowHeight="15" x14ac:dyDescent="0.25"/>
  <cols>
    <col min="3" max="3" width="18.42578125" bestFit="1" customWidth="1"/>
    <col min="4" max="4" width="2.85546875" customWidth="1"/>
    <col min="7" max="7" width="17.42578125" bestFit="1" customWidth="1"/>
    <col min="8" max="8" width="23" customWidth="1"/>
    <col min="9" max="9" width="12.42578125" customWidth="1"/>
    <col min="10" max="10" width="26.140625" customWidth="1"/>
    <col min="11" max="11" width="17.28515625" bestFit="1" customWidth="1"/>
    <col min="12" max="12" width="28.85546875" customWidth="1"/>
    <col min="13" max="13" width="20.140625" bestFit="1" customWidth="1"/>
    <col min="14" max="14" width="22.85546875" bestFit="1" customWidth="1"/>
    <col min="15" max="15" width="21.140625" customWidth="1"/>
    <col min="16" max="16" width="14.5703125" customWidth="1"/>
    <col min="17" max="17" width="1.5703125" customWidth="1"/>
    <col min="18" max="18" width="20.7109375" customWidth="1"/>
    <col min="20" max="20" width="23.42578125" bestFit="1" customWidth="1"/>
    <col min="22" max="22" width="29.140625" bestFit="1" customWidth="1"/>
    <col min="25" max="25" width="21.7109375" bestFit="1" customWidth="1"/>
    <col min="26" max="26" width="20.140625" bestFit="1" customWidth="1"/>
    <col min="27" max="27" width="11.42578125" style="95"/>
  </cols>
  <sheetData>
    <row r="1" spans="3:26" ht="23.25" x14ac:dyDescent="0.25">
      <c r="C1" s="67"/>
      <c r="D1" s="1"/>
      <c r="E1" s="2"/>
      <c r="F1" s="2"/>
      <c r="G1" s="2"/>
      <c r="H1" s="2"/>
      <c r="I1" s="3"/>
      <c r="J1" s="4"/>
      <c r="K1" s="2"/>
      <c r="L1" s="2"/>
      <c r="M1" s="5"/>
      <c r="N1" s="5"/>
      <c r="O1" s="5"/>
      <c r="P1" s="4"/>
      <c r="Q1" s="2"/>
      <c r="R1" s="4"/>
      <c r="S1" s="2"/>
      <c r="T1" s="2"/>
      <c r="U1" s="2"/>
      <c r="V1" s="2"/>
      <c r="W1" s="3"/>
      <c r="X1" s="4"/>
      <c r="Y1" s="5"/>
      <c r="Z1" s="5"/>
    </row>
    <row r="2" spans="3:26" ht="23.25" x14ac:dyDescent="0.25">
      <c r="C2" s="67"/>
      <c r="D2" s="1"/>
      <c r="E2" s="1"/>
      <c r="F2" s="1"/>
      <c r="G2" s="1"/>
      <c r="H2" s="1"/>
      <c r="I2" s="6"/>
      <c r="J2" s="7"/>
      <c r="K2" s="1"/>
      <c r="L2" s="1"/>
      <c r="M2" s="1"/>
      <c r="P2" s="7"/>
      <c r="Q2" s="1"/>
      <c r="R2" s="7"/>
      <c r="S2" s="1"/>
      <c r="T2" s="1"/>
      <c r="U2" s="1"/>
      <c r="V2" s="1"/>
      <c r="W2" s="6"/>
      <c r="X2" s="7"/>
      <c r="Y2" s="1"/>
      <c r="Z2" s="1"/>
    </row>
    <row r="3" spans="3:26" ht="23.25" x14ac:dyDescent="0.25">
      <c r="C3" s="67"/>
      <c r="D3" s="1"/>
      <c r="E3" s="8" t="s">
        <v>96</v>
      </c>
      <c r="F3" s="9"/>
      <c r="G3" s="9"/>
      <c r="H3" s="9"/>
      <c r="I3" s="10"/>
      <c r="J3" s="11" t="s">
        <v>0</v>
      </c>
      <c r="K3" s="8"/>
      <c r="L3" s="9"/>
      <c r="M3" s="12"/>
      <c r="P3" s="13"/>
      <c r="Q3" s="14"/>
      <c r="R3" s="15"/>
      <c r="S3" s="14"/>
      <c r="T3" s="8" t="s">
        <v>96</v>
      </c>
      <c r="U3" s="9"/>
      <c r="V3" s="9"/>
      <c r="W3" s="16"/>
      <c r="X3" s="11" t="s">
        <v>1</v>
      </c>
      <c r="Y3" s="8"/>
      <c r="Z3" s="14"/>
    </row>
    <row r="4" spans="3:26" ht="24" thickBot="1" x14ac:dyDescent="0.3">
      <c r="C4" s="67"/>
      <c r="D4" s="1"/>
      <c r="E4" s="14"/>
      <c r="F4" s="14"/>
      <c r="G4" s="14"/>
      <c r="H4" s="14"/>
      <c r="I4" s="10"/>
      <c r="J4" s="17" t="s">
        <v>2</v>
      </c>
      <c r="K4" s="14" t="s">
        <v>2</v>
      </c>
      <c r="L4" s="14"/>
      <c r="M4" s="12"/>
      <c r="P4" s="13"/>
      <c r="Q4" s="14"/>
      <c r="R4" s="17"/>
      <c r="S4" s="14"/>
      <c r="T4" s="12"/>
      <c r="U4" s="12"/>
      <c r="V4" s="12"/>
      <c r="W4" s="18"/>
      <c r="X4" s="17"/>
      <c r="Y4" s="14"/>
      <c r="Z4" s="14"/>
    </row>
    <row r="5" spans="3:26" ht="24" thickBot="1" x14ac:dyDescent="0.3">
      <c r="C5" s="67"/>
      <c r="D5" s="1"/>
      <c r="E5" s="19" t="s">
        <v>3</v>
      </c>
      <c r="F5" s="19"/>
      <c r="G5" s="19"/>
      <c r="H5" s="20">
        <v>2124</v>
      </c>
      <c r="I5" s="10"/>
      <c r="J5" s="21" t="s">
        <v>4</v>
      </c>
      <c r="K5" s="19"/>
      <c r="L5" s="22">
        <f>H5-I30</f>
        <v>-23</v>
      </c>
      <c r="M5" s="12"/>
      <c r="P5" s="17"/>
      <c r="Q5" s="14"/>
      <c r="R5" s="23"/>
      <c r="S5" s="14"/>
      <c r="T5" s="1"/>
      <c r="U5" s="1"/>
      <c r="V5" s="1"/>
      <c r="W5" s="6"/>
      <c r="X5" s="17" t="s">
        <v>2</v>
      </c>
      <c r="Y5" s="14"/>
      <c r="Z5" s="14"/>
    </row>
    <row r="6" spans="3:26" ht="23.25" x14ac:dyDescent="0.25">
      <c r="C6" s="67"/>
      <c r="D6" s="1"/>
      <c r="E6" s="14"/>
      <c r="F6" s="14"/>
      <c r="G6" s="14"/>
      <c r="H6" s="14"/>
      <c r="I6" s="10"/>
      <c r="J6" s="17"/>
      <c r="K6" s="14"/>
      <c r="L6" s="14"/>
      <c r="M6" s="12"/>
      <c r="P6" s="13"/>
      <c r="Q6" s="14"/>
      <c r="R6" s="17"/>
      <c r="S6" s="14"/>
      <c r="X6" s="17"/>
      <c r="Y6" s="14"/>
      <c r="Z6" s="14"/>
    </row>
    <row r="7" spans="3:26" ht="23.25" x14ac:dyDescent="0.25">
      <c r="C7" s="67"/>
      <c r="D7" s="1"/>
      <c r="E7" s="14"/>
      <c r="F7" s="14"/>
      <c r="G7" s="14"/>
      <c r="H7" s="14"/>
      <c r="I7" s="10"/>
      <c r="J7" s="17"/>
      <c r="K7" s="14"/>
      <c r="L7" s="14"/>
      <c r="M7" s="12"/>
      <c r="P7" s="13"/>
      <c r="Q7" s="14"/>
      <c r="R7" s="17"/>
      <c r="S7" s="14"/>
      <c r="T7" s="64" t="s">
        <v>97</v>
      </c>
      <c r="U7" s="65"/>
      <c r="V7" s="26" t="s">
        <v>98</v>
      </c>
      <c r="W7" s="66">
        <v>1200</v>
      </c>
      <c r="X7" s="7"/>
      <c r="Y7" s="1"/>
      <c r="Z7" s="1"/>
    </row>
    <row r="8" spans="3:26" ht="23.25" x14ac:dyDescent="0.25">
      <c r="C8" s="67"/>
      <c r="D8" s="1"/>
      <c r="E8" s="30" t="s">
        <v>7</v>
      </c>
      <c r="F8" s="30" t="s">
        <v>8</v>
      </c>
      <c r="G8" s="30" t="s">
        <v>9</v>
      </c>
      <c r="H8" s="30" t="s">
        <v>10</v>
      </c>
      <c r="I8" s="31" t="s">
        <v>11</v>
      </c>
      <c r="J8" s="32" t="s">
        <v>12</v>
      </c>
      <c r="K8" s="30" t="s">
        <v>13</v>
      </c>
      <c r="L8" s="30" t="s">
        <v>14</v>
      </c>
      <c r="M8" s="30" t="s">
        <v>15</v>
      </c>
      <c r="P8" s="33" t="s">
        <v>16</v>
      </c>
      <c r="Q8" s="12"/>
      <c r="R8" s="33" t="s">
        <v>17</v>
      </c>
      <c r="S8" s="14"/>
      <c r="T8" s="14"/>
      <c r="U8" s="14"/>
      <c r="V8" s="14"/>
      <c r="W8" s="28">
        <f>W7</f>
        <v>1200</v>
      </c>
      <c r="X8" s="29"/>
      <c r="Y8" s="14"/>
      <c r="Z8" s="14"/>
    </row>
    <row r="9" spans="3:26" ht="23.25" x14ac:dyDescent="0.25">
      <c r="C9" s="67"/>
      <c r="D9" s="1"/>
      <c r="E9" s="36">
        <v>0.30902777777777779</v>
      </c>
      <c r="F9" s="37">
        <v>12883</v>
      </c>
      <c r="G9" s="37" t="s">
        <v>50</v>
      </c>
      <c r="H9" s="37" t="s">
        <v>44</v>
      </c>
      <c r="I9" s="38">
        <v>100</v>
      </c>
      <c r="J9" s="39">
        <v>476767</v>
      </c>
      <c r="K9" s="38">
        <v>2460100</v>
      </c>
      <c r="L9" s="38">
        <v>2460200</v>
      </c>
      <c r="M9" s="40">
        <f>H5-I9</f>
        <v>2024</v>
      </c>
      <c r="N9" s="1"/>
      <c r="O9" s="1"/>
      <c r="P9" s="42">
        <f>I9*(100%-2%)</f>
        <v>98</v>
      </c>
      <c r="Q9" s="18"/>
      <c r="R9" s="42">
        <f>2445-P9</f>
        <v>2347</v>
      </c>
      <c r="S9" s="43"/>
      <c r="T9" s="68" t="s">
        <v>23</v>
      </c>
      <c r="U9" s="68" t="s">
        <v>24</v>
      </c>
      <c r="V9" s="68" t="s">
        <v>25</v>
      </c>
      <c r="W9" s="69" t="s">
        <v>26</v>
      </c>
      <c r="X9" s="70" t="s">
        <v>12</v>
      </c>
      <c r="Y9" s="68" t="s">
        <v>27</v>
      </c>
      <c r="Z9" s="68" t="s">
        <v>28</v>
      </c>
    </row>
    <row r="10" spans="3:26" ht="23.25" x14ac:dyDescent="0.25">
      <c r="C10" s="67"/>
      <c r="D10" s="1"/>
      <c r="E10" s="36">
        <v>0.31597222222222221</v>
      </c>
      <c r="F10" s="37">
        <v>12884</v>
      </c>
      <c r="G10" s="37" t="s">
        <v>50</v>
      </c>
      <c r="H10" s="37" t="s">
        <v>72</v>
      </c>
      <c r="I10" s="38">
        <v>100</v>
      </c>
      <c r="J10" s="39">
        <v>41985</v>
      </c>
      <c r="K10" s="38">
        <v>2460200</v>
      </c>
      <c r="L10" s="38">
        <f>K10+I10</f>
        <v>2460300</v>
      </c>
      <c r="M10" s="40">
        <f>M9-I10</f>
        <v>1924</v>
      </c>
      <c r="N10" s="1"/>
      <c r="O10" s="1"/>
      <c r="P10" s="42">
        <f>I10*(100%-2%)</f>
        <v>98</v>
      </c>
      <c r="Q10" s="18"/>
      <c r="R10" s="42">
        <f>R9-P10</f>
        <v>2249</v>
      </c>
      <c r="S10" s="14"/>
      <c r="T10" s="53">
        <v>0.25694444444444442</v>
      </c>
      <c r="U10" s="54">
        <v>11773</v>
      </c>
      <c r="V10" s="54" t="s">
        <v>41</v>
      </c>
      <c r="W10" s="55">
        <v>70</v>
      </c>
      <c r="X10" s="56">
        <v>29982</v>
      </c>
      <c r="Y10" s="54" t="s">
        <v>71</v>
      </c>
      <c r="Z10" s="54" t="s">
        <v>42</v>
      </c>
    </row>
    <row r="11" spans="3:26" ht="23.25" x14ac:dyDescent="0.25">
      <c r="C11" s="67"/>
      <c r="D11" s="1"/>
      <c r="E11" s="36">
        <v>0.32291666666666669</v>
      </c>
      <c r="F11" s="37">
        <v>12885</v>
      </c>
      <c r="G11" s="37" t="s">
        <v>50</v>
      </c>
      <c r="H11" s="37" t="s">
        <v>20</v>
      </c>
      <c r="I11" s="38">
        <v>100</v>
      </c>
      <c r="J11" s="39">
        <v>69331</v>
      </c>
      <c r="K11" s="38">
        <v>2160301</v>
      </c>
      <c r="L11" s="38">
        <f t="shared" ref="L11:L24" si="0">K11+I11</f>
        <v>2160401</v>
      </c>
      <c r="M11" s="40">
        <f t="shared" ref="M11:M24" si="1">M10-I11</f>
        <v>1824</v>
      </c>
      <c r="N11" s="1"/>
      <c r="O11" s="1"/>
      <c r="P11" s="42">
        <f>I11*(100%-2%)</f>
        <v>98</v>
      </c>
      <c r="Q11" s="18"/>
      <c r="R11" s="42">
        <f t="shared" ref="R11:R24" si="2">R10-P11</f>
        <v>2151</v>
      </c>
      <c r="S11" s="14"/>
      <c r="T11" s="53">
        <v>0.27500000000000002</v>
      </c>
      <c r="U11" s="54">
        <v>11774</v>
      </c>
      <c r="V11" s="54" t="s">
        <v>33</v>
      </c>
      <c r="W11" s="55">
        <v>100</v>
      </c>
      <c r="X11" s="56">
        <v>54139</v>
      </c>
      <c r="Y11" s="54" t="s">
        <v>37</v>
      </c>
      <c r="Z11" s="54" t="s">
        <v>34</v>
      </c>
    </row>
    <row r="12" spans="3:26" ht="23.25" x14ac:dyDescent="0.25">
      <c r="C12" s="67"/>
      <c r="D12" s="1"/>
      <c r="E12" s="36">
        <v>0.42430555555555555</v>
      </c>
      <c r="F12" s="37">
        <v>12886</v>
      </c>
      <c r="G12" s="37" t="s">
        <v>50</v>
      </c>
      <c r="H12" s="37" t="s">
        <v>47</v>
      </c>
      <c r="I12" s="38">
        <v>113</v>
      </c>
      <c r="J12" s="39">
        <v>40447</v>
      </c>
      <c r="K12" s="38">
        <v>2160402</v>
      </c>
      <c r="L12" s="38">
        <f t="shared" si="0"/>
        <v>2160515</v>
      </c>
      <c r="M12" s="40">
        <f t="shared" si="1"/>
        <v>1711</v>
      </c>
      <c r="P12" s="42">
        <f>I12*(100%-2%)</f>
        <v>110.74</v>
      </c>
      <c r="Q12" s="18"/>
      <c r="R12" s="42">
        <f t="shared" si="2"/>
        <v>2040.26</v>
      </c>
      <c r="S12" s="14"/>
      <c r="T12" s="53">
        <v>0.28263888888888888</v>
      </c>
      <c r="U12" s="54">
        <v>11775</v>
      </c>
      <c r="V12" s="54" t="s">
        <v>32</v>
      </c>
      <c r="W12" s="55">
        <v>100</v>
      </c>
      <c r="X12" s="56">
        <v>4858</v>
      </c>
      <c r="Y12" s="54" t="s">
        <v>37</v>
      </c>
      <c r="Z12" s="54" t="s">
        <v>99</v>
      </c>
    </row>
    <row r="13" spans="3:26" ht="23.25" x14ac:dyDescent="0.25">
      <c r="C13" s="67"/>
      <c r="D13" s="1"/>
      <c r="E13" s="36">
        <v>0.43263888888888891</v>
      </c>
      <c r="F13" s="37">
        <v>12887</v>
      </c>
      <c r="G13" s="37" t="s">
        <v>31</v>
      </c>
      <c r="H13" s="37" t="s">
        <v>48</v>
      </c>
      <c r="I13" s="38">
        <v>100</v>
      </c>
      <c r="J13" s="39">
        <v>114669</v>
      </c>
      <c r="K13" s="38">
        <v>2160516</v>
      </c>
      <c r="L13" s="38">
        <f t="shared" si="0"/>
        <v>2160616</v>
      </c>
      <c r="M13" s="40">
        <f t="shared" si="1"/>
        <v>1611</v>
      </c>
      <c r="P13" s="42">
        <f>I13*(100%-2%)</f>
        <v>98</v>
      </c>
      <c r="Q13" s="18"/>
      <c r="R13" s="42">
        <f t="shared" si="2"/>
        <v>1942.26</v>
      </c>
      <c r="S13" s="14"/>
      <c r="T13" s="53">
        <v>0.2986111111111111</v>
      </c>
      <c r="U13" s="54">
        <v>11776</v>
      </c>
      <c r="V13" s="54" t="s">
        <v>55</v>
      </c>
      <c r="W13" s="55">
        <v>100</v>
      </c>
      <c r="X13" s="56">
        <v>779091</v>
      </c>
      <c r="Y13" s="54" t="s">
        <v>37</v>
      </c>
      <c r="Z13" s="54" t="s">
        <v>100</v>
      </c>
    </row>
    <row r="14" spans="3:26" ht="23.25" x14ac:dyDescent="0.25">
      <c r="C14" s="67"/>
      <c r="D14" s="1"/>
      <c r="E14" s="36">
        <v>0.45833333333333331</v>
      </c>
      <c r="F14" s="37">
        <v>12888</v>
      </c>
      <c r="G14" s="37" t="s">
        <v>19</v>
      </c>
      <c r="H14" s="37" t="s">
        <v>51</v>
      </c>
      <c r="I14" s="38">
        <v>100</v>
      </c>
      <c r="J14" s="39">
        <v>124492</v>
      </c>
      <c r="K14" s="38">
        <v>2460616</v>
      </c>
      <c r="L14" s="38">
        <f t="shared" si="0"/>
        <v>2460716</v>
      </c>
      <c r="M14" s="40">
        <f t="shared" si="1"/>
        <v>1511</v>
      </c>
      <c r="P14" s="42">
        <f>I14*(100%-2%)</f>
        <v>98</v>
      </c>
      <c r="Q14" s="18"/>
      <c r="R14" s="42">
        <f t="shared" si="2"/>
        <v>1844.26</v>
      </c>
      <c r="S14" s="14"/>
      <c r="T14" s="53">
        <v>0.38680555555555557</v>
      </c>
      <c r="U14" s="54">
        <v>11777</v>
      </c>
      <c r="V14" s="54" t="s">
        <v>60</v>
      </c>
      <c r="W14" s="55">
        <v>328</v>
      </c>
      <c r="X14" s="56">
        <v>3350</v>
      </c>
      <c r="Y14" s="54" t="s">
        <v>101</v>
      </c>
      <c r="Z14" s="54" t="s">
        <v>61</v>
      </c>
    </row>
    <row r="15" spans="3:26" ht="23.25" x14ac:dyDescent="0.25">
      <c r="C15" s="67"/>
      <c r="D15" s="1"/>
      <c r="E15" s="36">
        <v>0.48749999999999999</v>
      </c>
      <c r="F15" s="37">
        <v>12889</v>
      </c>
      <c r="G15" s="37" t="s">
        <v>19</v>
      </c>
      <c r="H15" s="37" t="s">
        <v>56</v>
      </c>
      <c r="I15" s="38">
        <v>100</v>
      </c>
      <c r="J15" s="39">
        <v>53018</v>
      </c>
      <c r="K15" s="38">
        <v>2460717</v>
      </c>
      <c r="L15" s="38">
        <f t="shared" si="0"/>
        <v>2460817</v>
      </c>
      <c r="M15" s="40">
        <f t="shared" si="1"/>
        <v>1411</v>
      </c>
      <c r="P15" s="42">
        <f>I15*(100%-2%)</f>
        <v>98</v>
      </c>
      <c r="Q15" s="18"/>
      <c r="R15" s="42">
        <f t="shared" si="2"/>
        <v>1746.26</v>
      </c>
      <c r="S15" s="14"/>
      <c r="T15" s="53">
        <v>0.45555555555555555</v>
      </c>
      <c r="U15" s="54">
        <v>11778</v>
      </c>
      <c r="V15" s="54" t="s">
        <v>38</v>
      </c>
      <c r="W15" s="55">
        <v>100</v>
      </c>
      <c r="X15" s="56">
        <v>13299</v>
      </c>
      <c r="Y15" s="54" t="s">
        <v>102</v>
      </c>
      <c r="Z15" s="54" t="s">
        <v>73</v>
      </c>
    </row>
    <row r="16" spans="3:26" ht="23.25" x14ac:dyDescent="0.25">
      <c r="C16" s="67"/>
      <c r="D16" s="1"/>
      <c r="E16" s="36">
        <v>0.49305555555555558</v>
      </c>
      <c r="F16" s="37">
        <v>12890</v>
      </c>
      <c r="G16" s="37" t="s">
        <v>19</v>
      </c>
      <c r="H16" s="37" t="s">
        <v>39</v>
      </c>
      <c r="I16" s="38">
        <v>100</v>
      </c>
      <c r="J16" s="39">
        <v>23372</v>
      </c>
      <c r="K16" s="38">
        <v>2460817</v>
      </c>
      <c r="L16" s="38">
        <f t="shared" si="0"/>
        <v>2460917</v>
      </c>
      <c r="M16" s="40">
        <f t="shared" si="1"/>
        <v>1311</v>
      </c>
      <c r="P16" s="42">
        <f>I16*(100%-2%)</f>
        <v>98</v>
      </c>
      <c r="Q16" s="18"/>
      <c r="R16" s="42">
        <f t="shared" si="2"/>
        <v>1648.26</v>
      </c>
      <c r="S16" s="14"/>
      <c r="V16" s="57" t="s">
        <v>49</v>
      </c>
      <c r="W16" s="58">
        <f>SUM(W10:W15)</f>
        <v>798</v>
      </c>
    </row>
    <row r="17" spans="3:26" ht="23.25" x14ac:dyDescent="0.25">
      <c r="C17" s="67"/>
      <c r="D17" s="1"/>
      <c r="E17" s="36">
        <v>0.51041666666666663</v>
      </c>
      <c r="F17" s="37">
        <v>12891</v>
      </c>
      <c r="G17" s="37" t="s">
        <v>19</v>
      </c>
      <c r="H17" s="37" t="s">
        <v>103</v>
      </c>
      <c r="I17" s="38">
        <v>80</v>
      </c>
      <c r="J17" s="39">
        <v>1021921</v>
      </c>
      <c r="K17" s="38">
        <v>2460917</v>
      </c>
      <c r="L17" s="38">
        <f t="shared" si="0"/>
        <v>2460997</v>
      </c>
      <c r="M17" s="40">
        <f t="shared" si="1"/>
        <v>1231</v>
      </c>
      <c r="P17" s="42">
        <f>I17*(100%-2%)</f>
        <v>78.400000000000006</v>
      </c>
      <c r="Q17" s="18"/>
      <c r="R17" s="42">
        <f t="shared" si="2"/>
        <v>1569.86</v>
      </c>
      <c r="S17" s="1"/>
      <c r="V17" s="59" t="s">
        <v>52</v>
      </c>
      <c r="W17" s="60">
        <f>W8-W16</f>
        <v>402</v>
      </c>
    </row>
    <row r="18" spans="3:26" ht="23.25" x14ac:dyDescent="0.25">
      <c r="C18" s="67"/>
      <c r="D18" s="1"/>
      <c r="E18" s="36">
        <v>0.52152777777777781</v>
      </c>
      <c r="F18" s="37">
        <v>12892</v>
      </c>
      <c r="G18" s="37" t="s">
        <v>19</v>
      </c>
      <c r="H18" s="37" t="s">
        <v>54</v>
      </c>
      <c r="I18" s="38">
        <v>100</v>
      </c>
      <c r="J18" s="39">
        <v>468432</v>
      </c>
      <c r="K18" s="38">
        <v>2460997</v>
      </c>
      <c r="L18" s="38">
        <f t="shared" si="0"/>
        <v>2461097</v>
      </c>
      <c r="M18" s="40">
        <f t="shared" si="1"/>
        <v>1131</v>
      </c>
      <c r="P18" s="42">
        <f>I18*(100%-2%)</f>
        <v>98</v>
      </c>
      <c r="Q18" s="18"/>
      <c r="R18" s="42">
        <f t="shared" si="2"/>
        <v>1471.86</v>
      </c>
      <c r="S18" s="1"/>
    </row>
    <row r="19" spans="3:26" ht="23.25" x14ac:dyDescent="0.25">
      <c r="C19" s="67"/>
      <c r="D19" s="1"/>
      <c r="E19" s="36">
        <v>0.53055555555555556</v>
      </c>
      <c r="F19" s="37">
        <v>12893</v>
      </c>
      <c r="G19" s="37" t="s">
        <v>19</v>
      </c>
      <c r="H19" s="37" t="s">
        <v>36</v>
      </c>
      <c r="I19" s="38">
        <v>120</v>
      </c>
      <c r="J19" s="39">
        <v>502644</v>
      </c>
      <c r="K19" s="38">
        <v>2461098</v>
      </c>
      <c r="L19" s="38">
        <f t="shared" si="0"/>
        <v>2461218</v>
      </c>
      <c r="M19" s="40">
        <f t="shared" si="1"/>
        <v>1011</v>
      </c>
      <c r="P19" s="42">
        <f>I19*(100%-2%)</f>
        <v>117.6</v>
      </c>
      <c r="Q19" s="18"/>
      <c r="R19" s="42">
        <f t="shared" si="2"/>
        <v>1354.26</v>
      </c>
      <c r="S19" s="1"/>
      <c r="V19" s="1"/>
      <c r="W19" s="6"/>
    </row>
    <row r="20" spans="3:26" ht="23.25" x14ac:dyDescent="0.25">
      <c r="C20" s="67"/>
      <c r="D20" s="1"/>
      <c r="E20" s="36">
        <v>0.54166666666666663</v>
      </c>
      <c r="F20" s="37">
        <v>12894</v>
      </c>
      <c r="G20" s="37" t="s">
        <v>19</v>
      </c>
      <c r="H20" s="37" t="s">
        <v>57</v>
      </c>
      <c r="I20" s="38">
        <v>100</v>
      </c>
      <c r="J20" s="39">
        <v>431273</v>
      </c>
      <c r="K20" s="38">
        <v>2461218</v>
      </c>
      <c r="L20" s="38">
        <f t="shared" si="0"/>
        <v>2461318</v>
      </c>
      <c r="M20" s="40">
        <f t="shared" si="1"/>
        <v>911</v>
      </c>
      <c r="N20" s="1"/>
      <c r="O20" s="1"/>
      <c r="P20" s="42">
        <f>I20*(100%-2%)</f>
        <v>98</v>
      </c>
      <c r="Q20" s="18"/>
      <c r="R20" s="42">
        <f t="shared" si="2"/>
        <v>1256.26</v>
      </c>
      <c r="S20" s="1"/>
      <c r="T20" s="1"/>
      <c r="U20" s="1"/>
      <c r="V20" s="1"/>
      <c r="W20" s="6"/>
      <c r="X20" s="7"/>
      <c r="Y20" s="1"/>
      <c r="Z20" s="1"/>
    </row>
    <row r="21" spans="3:26" ht="23.25" x14ac:dyDescent="0.25">
      <c r="C21" s="67"/>
      <c r="D21" s="1"/>
      <c r="E21" s="36">
        <v>0.54861111111111116</v>
      </c>
      <c r="F21" s="37">
        <v>12895</v>
      </c>
      <c r="G21" s="37" t="s">
        <v>104</v>
      </c>
      <c r="H21" s="37" t="s">
        <v>35</v>
      </c>
      <c r="I21" s="38">
        <v>100</v>
      </c>
      <c r="J21" s="39">
        <v>34326</v>
      </c>
      <c r="K21" s="38">
        <v>2461318</v>
      </c>
      <c r="L21" s="38">
        <f t="shared" si="0"/>
        <v>2461418</v>
      </c>
      <c r="M21" s="40">
        <f t="shared" si="1"/>
        <v>811</v>
      </c>
      <c r="N21" s="1"/>
      <c r="O21" s="1"/>
      <c r="P21" s="42">
        <f>I21*(100%-2%)</f>
        <v>98</v>
      </c>
      <c r="Q21" s="18"/>
      <c r="R21" s="42">
        <f t="shared" si="2"/>
        <v>1158.26</v>
      </c>
      <c r="S21" s="1"/>
      <c r="T21" s="1"/>
      <c r="U21" s="1"/>
      <c r="V21" s="1"/>
      <c r="W21" s="6"/>
      <c r="X21" s="7"/>
      <c r="Y21" s="1"/>
      <c r="Z21" s="1"/>
    </row>
    <row r="22" spans="3:26" ht="23.25" x14ac:dyDescent="0.25">
      <c r="C22" s="67"/>
      <c r="D22" s="1"/>
      <c r="E22" s="36">
        <v>0.55208333333333337</v>
      </c>
      <c r="F22" s="37">
        <v>12896</v>
      </c>
      <c r="G22" s="37" t="s">
        <v>19</v>
      </c>
      <c r="H22" s="37" t="s">
        <v>43</v>
      </c>
      <c r="I22" s="38">
        <v>100</v>
      </c>
      <c r="J22" s="39">
        <v>440479</v>
      </c>
      <c r="K22" s="38">
        <v>2461418</v>
      </c>
      <c r="L22" s="38">
        <f t="shared" si="0"/>
        <v>2461518</v>
      </c>
      <c r="M22" s="40">
        <f t="shared" si="1"/>
        <v>711</v>
      </c>
      <c r="N22" s="1"/>
      <c r="O22" s="1"/>
      <c r="P22" s="49">
        <f>I22*(100%-2%)</f>
        <v>98</v>
      </c>
      <c r="Q22" s="18"/>
      <c r="R22" s="42">
        <f t="shared" si="2"/>
        <v>1060.26</v>
      </c>
      <c r="S22" s="1"/>
      <c r="T22" s="1"/>
      <c r="U22" s="1"/>
      <c r="V22" s="1"/>
      <c r="W22" s="6"/>
      <c r="X22" s="7"/>
      <c r="Y22" s="1"/>
      <c r="Z22" s="1"/>
    </row>
    <row r="23" spans="3:26" ht="23.25" x14ac:dyDescent="0.25">
      <c r="C23" s="67"/>
      <c r="D23" s="1"/>
      <c r="E23" s="36">
        <v>0.56111111111111112</v>
      </c>
      <c r="F23" s="37">
        <v>128979</v>
      </c>
      <c r="G23" s="37" t="s">
        <v>19</v>
      </c>
      <c r="H23" s="37" t="s">
        <v>33</v>
      </c>
      <c r="I23" s="38">
        <v>100</v>
      </c>
      <c r="J23" s="39">
        <v>54238</v>
      </c>
      <c r="K23" s="38">
        <v>2461518</v>
      </c>
      <c r="L23" s="38">
        <f t="shared" si="0"/>
        <v>2461618</v>
      </c>
      <c r="M23" s="40">
        <f t="shared" si="1"/>
        <v>611</v>
      </c>
      <c r="P23" s="42">
        <f>I23*(100%-2%)</f>
        <v>98</v>
      </c>
      <c r="Q23" s="18"/>
      <c r="R23" s="42">
        <f t="shared" si="2"/>
        <v>962.26</v>
      </c>
      <c r="S23" s="1"/>
      <c r="T23" s="1"/>
      <c r="U23" s="1"/>
      <c r="V23" s="1"/>
      <c r="W23" s="6"/>
      <c r="X23" s="7"/>
      <c r="Y23" s="1"/>
      <c r="Z23" s="1"/>
    </row>
    <row r="24" spans="3:26" ht="23.25" x14ac:dyDescent="0.25">
      <c r="C24" s="67"/>
      <c r="D24" s="1"/>
      <c r="E24" s="36">
        <v>0.56805555555555554</v>
      </c>
      <c r="F24" s="37">
        <v>12898</v>
      </c>
      <c r="G24" s="37" t="s">
        <v>19</v>
      </c>
      <c r="H24" s="37" t="s">
        <v>53</v>
      </c>
      <c r="I24" s="38">
        <v>100</v>
      </c>
      <c r="J24" s="39">
        <v>35578</v>
      </c>
      <c r="K24" s="38">
        <v>2461618</v>
      </c>
      <c r="L24" s="38">
        <f t="shared" si="0"/>
        <v>2461718</v>
      </c>
      <c r="M24" s="40">
        <f t="shared" si="1"/>
        <v>511</v>
      </c>
      <c r="P24" s="42">
        <f>I24*(100%-2%)</f>
        <v>98</v>
      </c>
      <c r="Q24" s="18"/>
      <c r="R24" s="42">
        <f t="shared" si="2"/>
        <v>864.26</v>
      </c>
      <c r="S24" s="1"/>
      <c r="T24" s="1"/>
      <c r="U24" s="1"/>
      <c r="V24" s="1"/>
      <c r="W24" s="6"/>
      <c r="X24" s="7"/>
      <c r="Y24" s="1"/>
      <c r="Z24" s="1"/>
    </row>
    <row r="25" spans="3:26" ht="23.25" x14ac:dyDescent="0.25">
      <c r="C25" s="67"/>
      <c r="D25" s="1"/>
      <c r="E25" s="36">
        <v>0.58333333333333337</v>
      </c>
      <c r="F25" s="37">
        <v>12899</v>
      </c>
      <c r="G25" s="37" t="s">
        <v>19</v>
      </c>
      <c r="H25" s="37" t="s">
        <v>32</v>
      </c>
      <c r="I25" s="38">
        <v>100</v>
      </c>
      <c r="J25" s="39">
        <v>4852</v>
      </c>
      <c r="K25" s="38">
        <v>2461718</v>
      </c>
      <c r="L25" s="38">
        <f>K25+I25</f>
        <v>2461818</v>
      </c>
      <c r="M25" s="40">
        <f>M24-I25</f>
        <v>411</v>
      </c>
      <c r="P25" s="42">
        <f>I25*(100%-2%)</f>
        <v>98</v>
      </c>
      <c r="Q25" s="18"/>
      <c r="R25" s="42">
        <f>R24-P25</f>
        <v>766.26</v>
      </c>
      <c r="S25" s="1"/>
      <c r="T25" s="1"/>
      <c r="U25" s="1"/>
      <c r="V25" s="1"/>
      <c r="W25" s="6"/>
      <c r="X25" s="7"/>
      <c r="Y25" s="1"/>
      <c r="Z25" s="1"/>
    </row>
    <row r="26" spans="3:26" ht="23.25" x14ac:dyDescent="0.25">
      <c r="C26" s="67"/>
      <c r="D26" s="1"/>
      <c r="E26" s="36">
        <v>0.59722222222222221</v>
      </c>
      <c r="F26" s="37">
        <v>12900</v>
      </c>
      <c r="G26" s="37" t="s">
        <v>19</v>
      </c>
      <c r="H26" s="37" t="s">
        <v>41</v>
      </c>
      <c r="I26" s="38">
        <v>100</v>
      </c>
      <c r="J26" s="39">
        <v>30180</v>
      </c>
      <c r="K26" s="38">
        <v>2461818</v>
      </c>
      <c r="L26" s="38">
        <f>K26+I26</f>
        <v>2461918</v>
      </c>
      <c r="M26" s="40">
        <f>M25-I26</f>
        <v>311</v>
      </c>
      <c r="P26" s="42">
        <f>I26*(100%-2%)</f>
        <v>98</v>
      </c>
      <c r="Q26" s="18"/>
      <c r="R26" s="42">
        <f>R25-P26</f>
        <v>668.26</v>
      </c>
      <c r="S26" s="1"/>
      <c r="T26" s="1"/>
      <c r="U26" s="1"/>
      <c r="V26" s="1"/>
      <c r="W26" s="6"/>
      <c r="X26" s="7"/>
      <c r="Y26" s="1"/>
      <c r="Z26" s="1"/>
    </row>
    <row r="27" spans="3:26" ht="23.25" x14ac:dyDescent="0.25">
      <c r="C27" s="67"/>
      <c r="D27" s="1"/>
      <c r="E27" s="36">
        <v>0.625</v>
      </c>
      <c r="F27" s="37">
        <v>12901</v>
      </c>
      <c r="G27" s="37" t="s">
        <v>104</v>
      </c>
      <c r="H27" s="37" t="s">
        <v>40</v>
      </c>
      <c r="I27" s="38">
        <v>100</v>
      </c>
      <c r="J27" s="39">
        <v>8265</v>
      </c>
      <c r="K27" s="38">
        <v>2461919</v>
      </c>
      <c r="L27" s="38">
        <f>K27+I27</f>
        <v>2462019</v>
      </c>
      <c r="M27" s="40">
        <f>M26-I27</f>
        <v>211</v>
      </c>
      <c r="N27" s="41" t="s">
        <v>21</v>
      </c>
      <c r="O27" s="41" t="s">
        <v>22</v>
      </c>
      <c r="P27" s="42">
        <f>I27*(100%-2%)</f>
        <v>98</v>
      </c>
      <c r="Q27" s="18"/>
      <c r="R27" s="42">
        <f>R26-P27</f>
        <v>570.26</v>
      </c>
      <c r="S27" s="1"/>
      <c r="T27" s="1"/>
      <c r="U27" s="1"/>
      <c r="V27" s="1"/>
      <c r="W27" s="6"/>
      <c r="X27" s="7"/>
      <c r="Y27" s="1"/>
      <c r="Z27" s="1"/>
    </row>
    <row r="28" spans="3:26" ht="23.25" x14ac:dyDescent="0.25">
      <c r="C28" s="67"/>
      <c r="D28" s="1"/>
      <c r="E28" s="47">
        <v>0.6645833333333333</v>
      </c>
      <c r="F28" s="48">
        <v>12902</v>
      </c>
      <c r="G28" s="48" t="s">
        <v>50</v>
      </c>
      <c r="H28" s="48" t="s">
        <v>30</v>
      </c>
      <c r="I28" s="49">
        <v>234</v>
      </c>
      <c r="J28" s="50">
        <v>866074</v>
      </c>
      <c r="K28" s="49">
        <v>2462018</v>
      </c>
      <c r="L28" s="49">
        <f>K28+I28</f>
        <v>2462252</v>
      </c>
      <c r="M28" s="51">
        <f>M27-I28</f>
        <v>-23</v>
      </c>
      <c r="N28" s="52">
        <v>800</v>
      </c>
      <c r="O28" s="52">
        <f>W16</f>
        <v>798</v>
      </c>
      <c r="P28" s="49">
        <f>I28*(100%-2%)</f>
        <v>229.32</v>
      </c>
      <c r="Q28" s="18"/>
      <c r="R28" s="42">
        <f>R27-P28</f>
        <v>340.94</v>
      </c>
      <c r="S28" s="1"/>
      <c r="T28" s="1"/>
      <c r="U28" s="1"/>
      <c r="V28" s="1"/>
      <c r="W28" s="6"/>
      <c r="X28" s="7"/>
      <c r="Y28" s="1"/>
      <c r="Z28" s="1"/>
    </row>
    <row r="29" spans="3:26" ht="24" thickBot="1" x14ac:dyDescent="0.3">
      <c r="C29" s="67"/>
      <c r="D29" s="1"/>
      <c r="E29" s="1"/>
      <c r="F29" s="1"/>
      <c r="G29" s="1"/>
      <c r="H29" s="1"/>
      <c r="I29" s="6"/>
      <c r="J29" s="7"/>
      <c r="K29" s="1"/>
      <c r="L29" s="1"/>
      <c r="M29" s="1"/>
      <c r="N29" s="1"/>
      <c r="O29" s="1"/>
      <c r="P29" s="7"/>
      <c r="Q29" s="1"/>
      <c r="R29" s="7"/>
      <c r="S29" s="1"/>
      <c r="T29" s="1"/>
      <c r="U29" s="1"/>
      <c r="V29" s="1"/>
      <c r="W29" s="6"/>
      <c r="X29" s="7"/>
      <c r="Y29" s="1"/>
      <c r="Z29" s="1"/>
    </row>
    <row r="30" spans="3:26" ht="24" thickBot="1" x14ac:dyDescent="0.3">
      <c r="C30" s="67"/>
      <c r="D30" s="1"/>
      <c r="E30" s="1"/>
      <c r="F30" s="1"/>
      <c r="G30" s="61" t="s">
        <v>58</v>
      </c>
      <c r="H30" s="62"/>
      <c r="I30" s="63">
        <f>SUM(I9:I28)</f>
        <v>2147</v>
      </c>
      <c r="J30" s="7"/>
      <c r="K30" s="1"/>
      <c r="L30" s="1"/>
      <c r="M30" s="1"/>
      <c r="N30" s="1"/>
      <c r="O30" s="1"/>
      <c r="P30" s="7"/>
      <c r="Q30" s="1"/>
      <c r="R30" s="7"/>
      <c r="S30" s="1"/>
      <c r="T30" s="1"/>
      <c r="U30" s="1"/>
      <c r="V30" s="1"/>
      <c r="W30" s="6"/>
      <c r="X30" s="7"/>
      <c r="Y30" s="1"/>
      <c r="Z30" s="1"/>
    </row>
    <row r="31" spans="3:26" ht="23.25" x14ac:dyDescent="0.25">
      <c r="C31" s="67"/>
      <c r="D31" s="1"/>
      <c r="E31" s="1"/>
      <c r="F31" s="1"/>
      <c r="G31" s="1"/>
      <c r="H31" s="1"/>
      <c r="I31" s="6"/>
      <c r="J31" s="7"/>
      <c r="K31" s="1"/>
      <c r="L31" s="1"/>
      <c r="M31" s="1"/>
      <c r="N31" s="1"/>
      <c r="O31" s="1"/>
      <c r="P31" s="7"/>
      <c r="Q31" s="1"/>
      <c r="R31" s="7"/>
      <c r="S31" s="1"/>
      <c r="T31" s="1"/>
      <c r="U31" s="1"/>
      <c r="V31" s="1"/>
      <c r="W31" s="6"/>
      <c r="X31" s="7"/>
      <c r="Y31" s="1"/>
      <c r="Z31" s="1"/>
    </row>
    <row r="32" spans="3:26" ht="23.25" x14ac:dyDescent="0.25">
      <c r="C32" s="67"/>
      <c r="D32" s="1"/>
      <c r="E32" s="2"/>
      <c r="F32" s="2"/>
      <c r="G32" s="2"/>
      <c r="H32" s="2"/>
      <c r="I32" s="3"/>
      <c r="J32" s="4"/>
      <c r="K32" s="2"/>
      <c r="L32" s="2"/>
      <c r="M32" s="5"/>
      <c r="N32" s="5"/>
      <c r="O32" s="5"/>
      <c r="P32" s="4"/>
      <c r="Q32" s="2"/>
      <c r="R32" s="4"/>
      <c r="S32" s="2"/>
      <c r="T32" s="2"/>
      <c r="U32" s="2"/>
      <c r="V32" s="2"/>
      <c r="W32" s="3"/>
      <c r="X32" s="4"/>
      <c r="Y32" s="5"/>
      <c r="Z32" s="5"/>
    </row>
    <row r="33" spans="3:26" ht="23.25" x14ac:dyDescent="0.25">
      <c r="C33" s="67"/>
      <c r="D33" s="1"/>
      <c r="E33" s="1"/>
      <c r="F33" s="1"/>
      <c r="G33" s="1"/>
      <c r="H33" s="1"/>
      <c r="I33" s="6"/>
      <c r="J33" s="7"/>
      <c r="K33" s="1"/>
      <c r="L33" s="1"/>
      <c r="M33" s="1"/>
      <c r="P33" s="7"/>
      <c r="Q33" s="1"/>
      <c r="R33" s="7"/>
      <c r="S33" s="1"/>
      <c r="T33" s="1"/>
      <c r="U33" s="1"/>
      <c r="V33" s="1"/>
      <c r="W33" s="6"/>
      <c r="X33" s="7"/>
      <c r="Y33" s="1"/>
      <c r="Z33" s="1"/>
    </row>
    <row r="34" spans="3:26" ht="23.25" x14ac:dyDescent="0.25">
      <c r="C34" s="67"/>
      <c r="D34" s="1"/>
      <c r="E34" s="8" t="s">
        <v>105</v>
      </c>
      <c r="F34" s="9"/>
      <c r="G34" s="9"/>
      <c r="H34" s="9"/>
      <c r="I34" s="10"/>
      <c r="J34" s="11" t="s">
        <v>0</v>
      </c>
      <c r="K34" s="8"/>
      <c r="L34" s="9"/>
      <c r="M34" s="12"/>
      <c r="P34" s="13"/>
      <c r="Q34" s="14"/>
      <c r="R34" s="15"/>
      <c r="S34" s="14"/>
      <c r="T34" s="8" t="s">
        <v>105</v>
      </c>
      <c r="U34" s="9"/>
      <c r="V34" s="9"/>
      <c r="W34" s="16"/>
      <c r="X34" s="11" t="s">
        <v>1</v>
      </c>
      <c r="Y34" s="8"/>
      <c r="Z34" s="14"/>
    </row>
    <row r="35" spans="3:26" ht="24" thickBot="1" x14ac:dyDescent="0.3">
      <c r="C35" s="67"/>
      <c r="D35" s="1"/>
      <c r="E35" s="14"/>
      <c r="F35" s="14"/>
      <c r="G35" s="14"/>
      <c r="H35" s="14"/>
      <c r="I35" s="10"/>
      <c r="J35" s="17" t="s">
        <v>2</v>
      </c>
      <c r="K35" s="14" t="s">
        <v>2</v>
      </c>
      <c r="L35" s="14"/>
      <c r="M35" s="12"/>
      <c r="P35" s="13"/>
      <c r="Q35" s="14"/>
      <c r="R35" s="17"/>
      <c r="S35" s="14"/>
      <c r="T35" s="12"/>
      <c r="U35" s="12"/>
      <c r="V35" s="12"/>
      <c r="W35" s="18"/>
      <c r="X35" s="17"/>
      <c r="Y35" s="14"/>
      <c r="Z35" s="14"/>
    </row>
    <row r="36" spans="3:26" ht="24" thickBot="1" x14ac:dyDescent="0.3">
      <c r="C36" s="67"/>
      <c r="D36" s="1"/>
      <c r="E36" s="19" t="s">
        <v>3</v>
      </c>
      <c r="F36" s="19"/>
      <c r="G36" s="19"/>
      <c r="H36" s="20">
        <v>0</v>
      </c>
      <c r="I36" s="10"/>
      <c r="J36" s="21" t="s">
        <v>4</v>
      </c>
      <c r="K36" s="19"/>
      <c r="L36" s="22">
        <f>H36-I43</f>
        <v>0</v>
      </c>
      <c r="M36" s="12"/>
      <c r="P36" s="17"/>
      <c r="Q36" s="14"/>
      <c r="R36" s="23"/>
      <c r="S36" s="14"/>
      <c r="T36" s="1"/>
      <c r="U36" s="1"/>
      <c r="V36" s="1"/>
      <c r="W36" s="6"/>
      <c r="X36" s="17" t="s">
        <v>2</v>
      </c>
      <c r="Y36" s="14"/>
      <c r="Z36" s="14"/>
    </row>
    <row r="37" spans="3:26" ht="23.25" x14ac:dyDescent="0.25">
      <c r="C37" s="67"/>
      <c r="D37" s="1"/>
      <c r="E37" s="14"/>
      <c r="F37" s="14"/>
      <c r="G37" s="14"/>
      <c r="H37" s="14"/>
      <c r="I37" s="10"/>
      <c r="J37" s="17"/>
      <c r="K37" s="14"/>
      <c r="L37" s="14"/>
      <c r="M37" s="12"/>
      <c r="P37" s="13"/>
      <c r="Q37" s="14"/>
      <c r="R37" s="17"/>
      <c r="S37" s="14"/>
      <c r="X37" s="17"/>
      <c r="Y37" s="14"/>
      <c r="Z37" s="14"/>
    </row>
    <row r="38" spans="3:26" ht="23.25" x14ac:dyDescent="0.25">
      <c r="C38" s="67"/>
      <c r="D38" s="1"/>
      <c r="E38" s="14"/>
      <c r="F38" s="14"/>
      <c r="G38" s="14"/>
      <c r="H38" s="14"/>
      <c r="I38" s="10"/>
      <c r="J38" s="17"/>
      <c r="K38" s="14"/>
      <c r="L38" s="14"/>
      <c r="M38" s="12"/>
      <c r="P38" s="13"/>
      <c r="Q38" s="14"/>
      <c r="R38" s="17"/>
      <c r="S38" s="14"/>
      <c r="T38" s="64" t="s">
        <v>97</v>
      </c>
      <c r="U38" s="65"/>
      <c r="V38" s="26" t="s">
        <v>98</v>
      </c>
      <c r="W38" s="66">
        <f>W17</f>
        <v>402</v>
      </c>
      <c r="X38" s="7"/>
      <c r="Y38" s="1"/>
      <c r="Z38" s="1"/>
    </row>
    <row r="39" spans="3:26" ht="23.25" x14ac:dyDescent="0.25">
      <c r="C39" s="67"/>
      <c r="D39" s="1"/>
      <c r="E39" s="30" t="s">
        <v>7</v>
      </c>
      <c r="F39" s="30" t="s">
        <v>8</v>
      </c>
      <c r="G39" s="30" t="s">
        <v>9</v>
      </c>
      <c r="H39" s="30" t="s">
        <v>10</v>
      </c>
      <c r="I39" s="31" t="s">
        <v>11</v>
      </c>
      <c r="J39" s="32" t="s">
        <v>12</v>
      </c>
      <c r="K39" s="30" t="s">
        <v>13</v>
      </c>
      <c r="L39" s="30" t="s">
        <v>14</v>
      </c>
      <c r="M39" s="30" t="s">
        <v>15</v>
      </c>
      <c r="P39" s="33" t="s">
        <v>16</v>
      </c>
      <c r="Q39" s="12"/>
      <c r="R39" s="33" t="s">
        <v>17</v>
      </c>
      <c r="S39" s="14"/>
      <c r="T39" s="24" t="s">
        <v>5</v>
      </c>
      <c r="U39" s="25"/>
      <c r="V39" s="26">
        <v>12902</v>
      </c>
      <c r="W39" s="27">
        <f>P28</f>
        <v>229.32</v>
      </c>
      <c r="X39" s="7"/>
      <c r="Y39" s="1"/>
      <c r="Z39" s="1"/>
    </row>
    <row r="40" spans="3:26" ht="23.25" x14ac:dyDescent="0.25">
      <c r="C40" s="67"/>
      <c r="D40" s="1"/>
      <c r="E40" s="36"/>
      <c r="F40" s="37"/>
      <c r="G40" s="37"/>
      <c r="H40" s="37"/>
      <c r="I40" s="38"/>
      <c r="J40" s="39"/>
      <c r="K40" s="38"/>
      <c r="L40" s="38"/>
      <c r="M40" s="40">
        <v>0</v>
      </c>
      <c r="N40" s="1"/>
      <c r="O40" s="1"/>
      <c r="P40" s="42">
        <f>I40*(100%-2%)</f>
        <v>0</v>
      </c>
      <c r="Q40" s="18"/>
      <c r="R40" s="42">
        <v>0</v>
      </c>
      <c r="S40" s="43"/>
      <c r="T40" s="14"/>
      <c r="U40" s="14"/>
      <c r="V40" s="14"/>
      <c r="W40" s="28">
        <f>W38+W39</f>
        <v>631.31999999999994</v>
      </c>
      <c r="X40" s="29"/>
      <c r="Y40" s="14"/>
      <c r="Z40" s="14"/>
    </row>
    <row r="41" spans="3:26" ht="23.25" x14ac:dyDescent="0.25">
      <c r="C41" s="67"/>
      <c r="D41" s="1"/>
      <c r="E41" s="36"/>
      <c r="F41" s="37"/>
      <c r="G41" s="37"/>
      <c r="H41" s="37"/>
      <c r="I41" s="38"/>
      <c r="J41" s="39"/>
      <c r="K41" s="38"/>
      <c r="L41" s="38"/>
      <c r="M41" s="40"/>
      <c r="N41" s="1"/>
      <c r="O41" s="1"/>
      <c r="P41" s="42">
        <f>I41*(100%-2%)</f>
        <v>0</v>
      </c>
      <c r="Q41" s="18"/>
      <c r="R41" s="42">
        <v>0</v>
      </c>
      <c r="S41" s="14"/>
      <c r="T41" s="68" t="s">
        <v>23</v>
      </c>
      <c r="U41" s="68" t="s">
        <v>24</v>
      </c>
      <c r="V41" s="68" t="s">
        <v>25</v>
      </c>
      <c r="W41" s="69" t="s">
        <v>26</v>
      </c>
      <c r="X41" s="70" t="s">
        <v>12</v>
      </c>
      <c r="Y41" s="68" t="s">
        <v>27</v>
      </c>
      <c r="Z41" s="68" t="s">
        <v>28</v>
      </c>
    </row>
    <row r="42" spans="3:26" ht="24" thickBot="1" x14ac:dyDescent="0.3">
      <c r="C42" s="67"/>
      <c r="D42" s="1"/>
      <c r="N42" s="1"/>
      <c r="O42" s="1"/>
      <c r="P42" s="42">
        <f>I42*(100%-2%)</f>
        <v>0</v>
      </c>
      <c r="Q42" s="18"/>
      <c r="R42" s="42">
        <v>0</v>
      </c>
      <c r="S42" s="14"/>
      <c r="T42" s="53">
        <v>0.30625000000000002</v>
      </c>
      <c r="U42" s="54">
        <v>11779</v>
      </c>
      <c r="V42" s="54" t="s">
        <v>106</v>
      </c>
      <c r="W42" s="55">
        <v>25</v>
      </c>
      <c r="X42" s="56">
        <v>1306</v>
      </c>
      <c r="Y42" s="54" t="s">
        <v>107</v>
      </c>
      <c r="Z42" s="54" t="s">
        <v>108</v>
      </c>
    </row>
    <row r="43" spans="3:26" ht="24" thickBot="1" x14ac:dyDescent="0.3">
      <c r="C43" s="67"/>
      <c r="D43" s="1"/>
      <c r="G43" s="61" t="s">
        <v>62</v>
      </c>
      <c r="H43" s="62"/>
      <c r="I43" s="63">
        <f>SUM(I40:I41)</f>
        <v>0</v>
      </c>
      <c r="J43" s="71" t="s">
        <v>109</v>
      </c>
      <c r="K43" s="1"/>
      <c r="S43" s="14"/>
      <c r="T43" s="53">
        <v>0.3125</v>
      </c>
      <c r="U43" s="54">
        <v>11780</v>
      </c>
      <c r="V43" s="54" t="s">
        <v>110</v>
      </c>
      <c r="W43" s="55">
        <v>84</v>
      </c>
      <c r="X43" s="56"/>
      <c r="Y43" s="54" t="s">
        <v>107</v>
      </c>
      <c r="Z43" s="54" t="s">
        <v>111</v>
      </c>
    </row>
    <row r="44" spans="3:26" ht="23.25" x14ac:dyDescent="0.25">
      <c r="C44" s="67"/>
      <c r="D44" s="1"/>
      <c r="S44" s="14"/>
      <c r="T44" s="53">
        <v>0.31944444444444442</v>
      </c>
      <c r="U44" s="54">
        <v>11781</v>
      </c>
      <c r="V44" s="54" t="s">
        <v>112</v>
      </c>
      <c r="W44" s="55">
        <v>103</v>
      </c>
      <c r="X44" s="56"/>
      <c r="Y44" s="54" t="s">
        <v>107</v>
      </c>
      <c r="Z44" s="54" t="s">
        <v>113</v>
      </c>
    </row>
    <row r="45" spans="3:26" ht="23.25" x14ac:dyDescent="0.25">
      <c r="C45" s="67"/>
      <c r="D45" s="1"/>
      <c r="S45" s="14"/>
      <c r="T45" s="53">
        <v>0.32291666666666669</v>
      </c>
      <c r="U45" s="54">
        <v>11782</v>
      </c>
      <c r="V45" s="54" t="s">
        <v>114</v>
      </c>
      <c r="W45" s="55">
        <v>50</v>
      </c>
      <c r="X45" s="56"/>
      <c r="Y45" s="54" t="s">
        <v>107</v>
      </c>
      <c r="Z45" s="54"/>
    </row>
    <row r="46" spans="3:26" ht="23.25" x14ac:dyDescent="0.25">
      <c r="C46" s="67"/>
      <c r="D46" s="1"/>
      <c r="S46" s="14"/>
      <c r="T46" s="53">
        <v>0.36180555555555555</v>
      </c>
      <c r="U46" s="54">
        <v>11783</v>
      </c>
      <c r="V46" s="54" t="s">
        <v>115</v>
      </c>
      <c r="W46" s="55">
        <v>52</v>
      </c>
      <c r="X46" s="56"/>
      <c r="Y46" s="54" t="s">
        <v>116</v>
      </c>
      <c r="Z46" s="54" t="s">
        <v>117</v>
      </c>
    </row>
    <row r="47" spans="3:26" ht="23.25" x14ac:dyDescent="0.25">
      <c r="C47" s="67"/>
      <c r="D47" s="1"/>
      <c r="S47" s="14"/>
      <c r="T47" s="53">
        <v>0.54513888888888884</v>
      </c>
      <c r="U47" s="54">
        <v>11784</v>
      </c>
      <c r="V47" s="54" t="s">
        <v>70</v>
      </c>
      <c r="W47" s="55">
        <v>33</v>
      </c>
      <c r="X47" s="56">
        <v>2679</v>
      </c>
      <c r="Y47" s="54" t="s">
        <v>107</v>
      </c>
      <c r="Z47" s="54"/>
    </row>
    <row r="48" spans="3:26" ht="23.25" x14ac:dyDescent="0.25">
      <c r="C48" s="67"/>
      <c r="D48" s="1"/>
      <c r="S48" s="1"/>
      <c r="T48" s="53">
        <v>0.71944444444444444</v>
      </c>
      <c r="U48" s="54">
        <v>11785</v>
      </c>
      <c r="V48" s="54" t="s">
        <v>30</v>
      </c>
      <c r="W48" s="55">
        <v>30</v>
      </c>
      <c r="X48" s="56">
        <v>140120</v>
      </c>
      <c r="Y48" s="54" t="s">
        <v>118</v>
      </c>
      <c r="Z48" s="54"/>
    </row>
    <row r="49" spans="3:26" ht="23.25" x14ac:dyDescent="0.25">
      <c r="C49" s="67"/>
      <c r="D49" s="1"/>
      <c r="S49" s="1"/>
      <c r="V49" s="57" t="s">
        <v>49</v>
      </c>
      <c r="W49" s="58">
        <f>SUM(W42:W48)</f>
        <v>377</v>
      </c>
    </row>
    <row r="50" spans="3:26" ht="23.25" x14ac:dyDescent="0.25">
      <c r="C50" s="67"/>
      <c r="D50" s="1"/>
      <c r="S50" s="1"/>
      <c r="V50" s="59" t="s">
        <v>52</v>
      </c>
      <c r="W50" s="60">
        <f>W40-W49</f>
        <v>254.31999999999994</v>
      </c>
    </row>
    <row r="51" spans="3:26" ht="23.25" x14ac:dyDescent="0.25">
      <c r="C51" s="67"/>
      <c r="D51" s="1"/>
      <c r="S51" s="1"/>
      <c r="T51" s="1"/>
      <c r="U51" s="1"/>
      <c r="V51" s="1"/>
      <c r="W51" s="6"/>
      <c r="X51" s="7"/>
      <c r="Y51" s="1"/>
      <c r="Z51" s="1"/>
    </row>
    <row r="52" spans="3:26" ht="23.25" x14ac:dyDescent="0.25">
      <c r="C52" s="67"/>
      <c r="D52" s="1"/>
      <c r="E52" s="2"/>
      <c r="F52" s="2"/>
      <c r="G52" s="2"/>
      <c r="H52" s="2"/>
      <c r="I52" s="3"/>
      <c r="J52" s="4"/>
      <c r="K52" s="2"/>
      <c r="L52" s="2"/>
      <c r="M52" s="5"/>
      <c r="N52" s="5"/>
      <c r="O52" s="5"/>
      <c r="P52" s="4"/>
      <c r="Q52" s="2"/>
      <c r="R52" s="4"/>
      <c r="S52" s="2"/>
      <c r="T52" s="2"/>
      <c r="U52" s="2"/>
      <c r="V52" s="2"/>
      <c r="W52" s="3"/>
      <c r="X52" s="4"/>
      <c r="Y52" s="5"/>
      <c r="Z52" s="5"/>
    </row>
    <row r="53" spans="3:26" ht="23.25" x14ac:dyDescent="0.25">
      <c r="C53" s="67"/>
      <c r="D53" s="1"/>
      <c r="E53" s="1"/>
      <c r="F53" s="1"/>
      <c r="G53" s="1"/>
      <c r="H53" s="1"/>
      <c r="I53" s="6"/>
      <c r="J53" s="7"/>
      <c r="K53" s="1"/>
      <c r="L53" s="1"/>
      <c r="M53" s="1"/>
      <c r="P53" s="7"/>
      <c r="Q53" s="1"/>
      <c r="R53" s="7"/>
      <c r="S53" s="1"/>
      <c r="T53" s="1"/>
      <c r="U53" s="1"/>
      <c r="V53" s="1"/>
      <c r="W53" s="6"/>
      <c r="X53" s="7"/>
      <c r="Y53" s="1"/>
      <c r="Z53" s="1"/>
    </row>
    <row r="54" spans="3:26" ht="23.25" x14ac:dyDescent="0.25">
      <c r="C54" s="67"/>
      <c r="D54" s="1"/>
      <c r="E54" s="8" t="s">
        <v>119</v>
      </c>
      <c r="F54" s="9"/>
      <c r="G54" s="9"/>
      <c r="H54" s="9"/>
      <c r="I54" s="10"/>
      <c r="J54" s="11" t="s">
        <v>0</v>
      </c>
      <c r="K54" s="8"/>
      <c r="L54" s="9"/>
      <c r="M54" s="12"/>
      <c r="P54" s="13"/>
      <c r="Q54" s="14"/>
      <c r="R54" s="15"/>
      <c r="S54" s="14"/>
      <c r="T54" s="8" t="s">
        <v>119</v>
      </c>
      <c r="U54" s="9"/>
      <c r="V54" s="9"/>
      <c r="W54" s="16"/>
      <c r="X54" s="11" t="s">
        <v>1</v>
      </c>
      <c r="Y54" s="8"/>
      <c r="Z54" s="14"/>
    </row>
    <row r="55" spans="3:26" ht="24" thickBot="1" x14ac:dyDescent="0.3">
      <c r="C55" s="67"/>
      <c r="D55" s="1"/>
      <c r="E55" s="14"/>
      <c r="F55" s="14"/>
      <c r="G55" s="14"/>
      <c r="H55" s="14"/>
      <c r="I55" s="10"/>
      <c r="J55" s="17" t="s">
        <v>2</v>
      </c>
      <c r="K55" s="14" t="s">
        <v>2</v>
      </c>
      <c r="L55" s="14"/>
      <c r="M55" s="12"/>
      <c r="P55" s="13"/>
      <c r="Q55" s="14"/>
      <c r="R55" s="17"/>
      <c r="S55" s="14"/>
      <c r="T55" s="12"/>
      <c r="U55" s="12"/>
      <c r="V55" s="12"/>
      <c r="W55" s="18"/>
      <c r="X55" s="17"/>
      <c r="Y55" s="14"/>
      <c r="Z55" s="14"/>
    </row>
    <row r="56" spans="3:26" ht="24" thickBot="1" x14ac:dyDescent="0.3">
      <c r="C56" s="67"/>
      <c r="D56" s="1"/>
      <c r="E56" s="19" t="s">
        <v>3</v>
      </c>
      <c r="F56" s="19"/>
      <c r="G56" s="19"/>
      <c r="H56" s="20">
        <f>M47</f>
        <v>0</v>
      </c>
      <c r="I56" s="10"/>
      <c r="J56" s="21" t="s">
        <v>4</v>
      </c>
      <c r="K56" s="19"/>
      <c r="L56" s="22">
        <f>H56-I63</f>
        <v>0</v>
      </c>
      <c r="M56" s="12"/>
      <c r="P56" s="17"/>
      <c r="Q56" s="14"/>
      <c r="R56" s="23"/>
      <c r="S56" s="14"/>
      <c r="T56" s="1"/>
      <c r="U56" s="1"/>
      <c r="V56" s="1"/>
      <c r="W56" s="6"/>
      <c r="X56" s="17" t="s">
        <v>2</v>
      </c>
      <c r="Y56" s="14"/>
      <c r="Z56" s="14"/>
    </row>
    <row r="57" spans="3:26" ht="23.25" x14ac:dyDescent="0.25">
      <c r="C57" s="67"/>
      <c r="D57" s="1"/>
      <c r="E57" s="14"/>
      <c r="F57" s="14"/>
      <c r="G57" s="14"/>
      <c r="H57" s="14"/>
      <c r="I57" s="10"/>
      <c r="J57" s="17"/>
      <c r="K57" s="14"/>
      <c r="L57" s="14"/>
      <c r="M57" s="12"/>
      <c r="P57" s="13"/>
      <c r="Q57" s="14"/>
      <c r="R57" s="17"/>
      <c r="S57" s="14"/>
      <c r="X57" s="17"/>
      <c r="Y57" s="14"/>
      <c r="Z57" s="14"/>
    </row>
    <row r="58" spans="3:26" ht="23.25" x14ac:dyDescent="0.25">
      <c r="C58" s="67"/>
      <c r="D58" s="1"/>
      <c r="E58" s="14"/>
      <c r="F58" s="14"/>
      <c r="G58" s="14"/>
      <c r="H58" s="14"/>
      <c r="I58" s="10"/>
      <c r="J58" s="17"/>
      <c r="K58" s="14"/>
      <c r="L58" s="14"/>
      <c r="M58" s="12"/>
      <c r="P58" s="13"/>
      <c r="Q58" s="14"/>
      <c r="R58" s="17"/>
      <c r="S58" s="14"/>
      <c r="T58" s="64" t="s">
        <v>97</v>
      </c>
      <c r="U58" s="65"/>
      <c r="V58" s="26" t="s">
        <v>98</v>
      </c>
      <c r="W58" s="66">
        <f>W37</f>
        <v>0</v>
      </c>
      <c r="X58" s="7"/>
      <c r="Y58" s="1"/>
      <c r="Z58" s="1"/>
    </row>
    <row r="59" spans="3:26" ht="23.25" x14ac:dyDescent="0.25">
      <c r="C59" s="67"/>
      <c r="D59" s="1"/>
      <c r="E59" s="30" t="s">
        <v>7</v>
      </c>
      <c r="F59" s="30" t="s">
        <v>8</v>
      </c>
      <c r="G59" s="30" t="s">
        <v>9</v>
      </c>
      <c r="H59" s="30" t="s">
        <v>10</v>
      </c>
      <c r="I59" s="31" t="s">
        <v>11</v>
      </c>
      <c r="J59" s="32" t="s">
        <v>12</v>
      </c>
      <c r="K59" s="30" t="s">
        <v>13</v>
      </c>
      <c r="L59" s="30" t="s">
        <v>14</v>
      </c>
      <c r="M59" s="30" t="s">
        <v>15</v>
      </c>
      <c r="P59" s="33" t="s">
        <v>16</v>
      </c>
      <c r="Q59" s="12"/>
      <c r="R59" s="33" t="s">
        <v>17</v>
      </c>
      <c r="S59" s="14"/>
      <c r="T59" s="24" t="s">
        <v>5</v>
      </c>
      <c r="U59" s="25"/>
      <c r="V59" s="26">
        <v>12902</v>
      </c>
      <c r="W59" s="27">
        <f>P48</f>
        <v>0</v>
      </c>
      <c r="X59" s="7"/>
      <c r="Y59" s="1"/>
      <c r="Z59" s="1"/>
    </row>
    <row r="60" spans="3:26" ht="23.25" x14ac:dyDescent="0.25">
      <c r="C60" s="67"/>
      <c r="D60" s="1"/>
      <c r="E60" s="36"/>
      <c r="F60" s="37"/>
      <c r="G60" s="37"/>
      <c r="H60" s="37"/>
      <c r="I60" s="38"/>
      <c r="J60" s="39"/>
      <c r="K60" s="38"/>
      <c r="L60" s="38"/>
      <c r="M60" s="40">
        <v>0</v>
      </c>
      <c r="N60" s="1"/>
      <c r="O60" s="1"/>
      <c r="P60" s="42">
        <f>I60*(100%-2%)</f>
        <v>0</v>
      </c>
      <c r="Q60" s="18"/>
      <c r="R60" s="42">
        <v>0</v>
      </c>
      <c r="S60" s="43"/>
      <c r="T60" s="14"/>
      <c r="U60" s="14"/>
      <c r="V60" s="14"/>
      <c r="W60" s="28">
        <f>W50</f>
        <v>254.31999999999994</v>
      </c>
      <c r="X60" s="29"/>
      <c r="Y60" s="14"/>
      <c r="Z60" s="14"/>
    </row>
    <row r="61" spans="3:26" ht="23.25" x14ac:dyDescent="0.25">
      <c r="C61" s="67"/>
      <c r="D61" s="1"/>
      <c r="E61" s="36"/>
      <c r="F61" s="37"/>
      <c r="G61" s="37"/>
      <c r="H61" s="37"/>
      <c r="I61" s="38"/>
      <c r="J61" s="39"/>
      <c r="K61" s="38"/>
      <c r="L61" s="38"/>
      <c r="M61" s="40"/>
      <c r="N61" s="1"/>
      <c r="O61" s="1"/>
      <c r="P61" s="42">
        <f>I61*(100%-2%)</f>
        <v>0</v>
      </c>
      <c r="Q61" s="18"/>
      <c r="R61" s="42">
        <v>0</v>
      </c>
      <c r="S61" s="14"/>
      <c r="T61" s="68" t="s">
        <v>23</v>
      </c>
      <c r="U61" s="68" t="s">
        <v>24</v>
      </c>
      <c r="V61" s="68" t="s">
        <v>25</v>
      </c>
      <c r="W61" s="69" t="s">
        <v>26</v>
      </c>
      <c r="X61" s="70" t="s">
        <v>12</v>
      </c>
      <c r="Y61" s="68" t="s">
        <v>27</v>
      </c>
      <c r="Z61" s="68" t="s">
        <v>28</v>
      </c>
    </row>
    <row r="62" spans="3:26" ht="24" thickBot="1" x14ac:dyDescent="0.3">
      <c r="C62" s="67"/>
      <c r="D62" s="1"/>
      <c r="N62" s="1"/>
      <c r="O62" s="1"/>
      <c r="P62" s="42">
        <f>I62*(100%-2%)</f>
        <v>0</v>
      </c>
      <c r="Q62" s="18"/>
      <c r="R62" s="42">
        <v>0</v>
      </c>
      <c r="S62" s="14"/>
      <c r="T62" s="53">
        <v>0.38750000000000001</v>
      </c>
      <c r="U62" s="54">
        <v>11786</v>
      </c>
      <c r="V62" s="54" t="s">
        <v>74</v>
      </c>
      <c r="W62" s="55">
        <v>150</v>
      </c>
      <c r="X62" s="56">
        <v>2323</v>
      </c>
      <c r="Y62" s="54" t="s">
        <v>120</v>
      </c>
      <c r="Z62" s="54" t="s">
        <v>121</v>
      </c>
    </row>
    <row r="63" spans="3:26" ht="24" thickBot="1" x14ac:dyDescent="0.3">
      <c r="C63" s="67"/>
      <c r="D63" s="1"/>
      <c r="G63" s="61" t="s">
        <v>77</v>
      </c>
      <c r="H63" s="62"/>
      <c r="I63" s="63">
        <f>SUM(I60:I61)</f>
        <v>0</v>
      </c>
      <c r="J63" s="71" t="s">
        <v>109</v>
      </c>
      <c r="K63" s="1"/>
      <c r="S63" s="14"/>
      <c r="V63" s="57" t="s">
        <v>49</v>
      </c>
      <c r="W63" s="58">
        <f>SUM(W62)</f>
        <v>150</v>
      </c>
    </row>
    <row r="64" spans="3:26" ht="23.25" x14ac:dyDescent="0.25">
      <c r="C64" s="67"/>
      <c r="D64" s="1"/>
      <c r="S64" s="14"/>
      <c r="V64" s="59" t="s">
        <v>52</v>
      </c>
      <c r="W64" s="60">
        <f>W60-W63</f>
        <v>104.31999999999994</v>
      </c>
    </row>
    <row r="65" spans="3:26" ht="23.25" x14ac:dyDescent="0.25">
      <c r="C65" s="67"/>
      <c r="D65" s="1"/>
      <c r="S65" s="14"/>
    </row>
    <row r="66" spans="3:26" ht="23.25" x14ac:dyDescent="0.25">
      <c r="C66" s="67"/>
      <c r="D66" s="1"/>
      <c r="S66" s="14"/>
    </row>
    <row r="67" spans="3:26" ht="23.25" x14ac:dyDescent="0.25">
      <c r="C67" s="67"/>
      <c r="D67" s="1"/>
      <c r="S67" s="14"/>
      <c r="T67" s="64" t="s">
        <v>122</v>
      </c>
      <c r="U67" s="65"/>
      <c r="V67" s="26" t="s">
        <v>123</v>
      </c>
      <c r="W67" s="66">
        <v>1206</v>
      </c>
      <c r="X67" s="7"/>
      <c r="Y67" s="1"/>
      <c r="Z67" s="1"/>
    </row>
    <row r="68" spans="3:26" ht="23.25" x14ac:dyDescent="0.25">
      <c r="C68" s="67"/>
      <c r="D68" s="1"/>
      <c r="S68" s="1"/>
      <c r="T68" s="14"/>
      <c r="U68" s="14"/>
      <c r="V68" s="14"/>
      <c r="W68" s="28">
        <v>1206</v>
      </c>
      <c r="X68" s="29"/>
      <c r="Y68" s="14"/>
      <c r="Z68" s="14"/>
    </row>
    <row r="69" spans="3:26" ht="23.25" x14ac:dyDescent="0.25">
      <c r="C69" s="67"/>
      <c r="D69" s="1"/>
      <c r="S69" s="1"/>
      <c r="T69" s="68" t="s">
        <v>23</v>
      </c>
      <c r="U69" s="68" t="s">
        <v>24</v>
      </c>
      <c r="V69" s="68" t="s">
        <v>25</v>
      </c>
      <c r="W69" s="69" t="s">
        <v>26</v>
      </c>
      <c r="X69" s="70" t="s">
        <v>12</v>
      </c>
      <c r="Y69" s="68" t="s">
        <v>27</v>
      </c>
      <c r="Z69" s="68" t="s">
        <v>28</v>
      </c>
    </row>
    <row r="70" spans="3:26" ht="23.25" x14ac:dyDescent="0.25">
      <c r="C70" s="67"/>
      <c r="D70" s="1"/>
      <c r="S70" s="1"/>
      <c r="T70" s="53">
        <v>0.6875</v>
      </c>
      <c r="U70" s="54">
        <v>11788</v>
      </c>
      <c r="V70" s="54" t="s">
        <v>72</v>
      </c>
      <c r="W70" s="55">
        <v>100</v>
      </c>
      <c r="X70" s="56">
        <v>42183</v>
      </c>
      <c r="Y70" s="54" t="s">
        <v>124</v>
      </c>
      <c r="Z70" s="54" t="s">
        <v>125</v>
      </c>
    </row>
    <row r="71" spans="3:26" ht="23.25" x14ac:dyDescent="0.25">
      <c r="C71" s="67"/>
      <c r="D71" s="1"/>
      <c r="E71" s="1"/>
      <c r="F71" s="1"/>
      <c r="G71" s="1"/>
      <c r="H71" s="1"/>
      <c r="I71" s="6"/>
      <c r="J71" s="7"/>
      <c r="K71" s="1"/>
      <c r="L71" s="1"/>
      <c r="M71" s="1"/>
      <c r="N71" s="1"/>
      <c r="O71" s="1"/>
      <c r="P71" s="7"/>
      <c r="Q71" s="1"/>
      <c r="R71" s="7"/>
      <c r="S71" s="1"/>
      <c r="T71" s="53">
        <v>0.69444444444444442</v>
      </c>
      <c r="U71" s="54">
        <v>11789</v>
      </c>
      <c r="V71" s="54" t="s">
        <v>35</v>
      </c>
      <c r="W71" s="55">
        <v>100</v>
      </c>
      <c r="X71" s="56">
        <v>34579</v>
      </c>
      <c r="Y71" s="54" t="s">
        <v>124</v>
      </c>
      <c r="Z71" s="54" t="s">
        <v>126</v>
      </c>
    </row>
    <row r="72" spans="3:26" ht="23.25" x14ac:dyDescent="0.25">
      <c r="C72" s="67"/>
      <c r="D72" s="1"/>
      <c r="E72" s="1"/>
      <c r="F72" s="1"/>
      <c r="G72" s="1"/>
      <c r="H72" s="1"/>
      <c r="I72" s="6"/>
      <c r="J72" s="7"/>
      <c r="K72" s="1"/>
      <c r="L72" s="1"/>
      <c r="M72" s="1"/>
      <c r="N72" s="1"/>
      <c r="O72" s="1"/>
      <c r="P72" s="7"/>
      <c r="Q72" s="1"/>
      <c r="R72" s="7"/>
      <c r="S72" s="1"/>
      <c r="T72" s="53">
        <v>0.7006944444444444</v>
      </c>
      <c r="U72" s="54">
        <v>11790</v>
      </c>
      <c r="V72" s="54" t="s">
        <v>47</v>
      </c>
      <c r="W72" s="55">
        <v>100</v>
      </c>
      <c r="X72" s="56">
        <v>40702</v>
      </c>
      <c r="Y72" s="54" t="s">
        <v>124</v>
      </c>
      <c r="Z72" s="54" t="s">
        <v>127</v>
      </c>
    </row>
    <row r="73" spans="3:26" ht="23.25" x14ac:dyDescent="0.25">
      <c r="C73" s="67"/>
      <c r="D73" s="1"/>
      <c r="E73" s="1"/>
      <c r="F73" s="1"/>
      <c r="G73" s="1"/>
      <c r="H73" s="1"/>
      <c r="I73" s="6"/>
      <c r="J73" s="7"/>
      <c r="K73" s="1"/>
      <c r="L73" s="1"/>
      <c r="M73" s="1"/>
      <c r="N73" s="1"/>
      <c r="O73" s="1"/>
      <c r="P73" s="7"/>
      <c r="Q73" s="1"/>
      <c r="R73" s="7"/>
      <c r="S73" s="1"/>
      <c r="T73" s="53">
        <v>0.70833333333333337</v>
      </c>
      <c r="U73" s="54">
        <v>11791</v>
      </c>
      <c r="V73" s="54" t="s">
        <v>41</v>
      </c>
      <c r="W73" s="55">
        <v>100</v>
      </c>
      <c r="X73" s="56">
        <v>30426</v>
      </c>
      <c r="Y73" s="54" t="s">
        <v>124</v>
      </c>
      <c r="Z73" s="54" t="s">
        <v>42</v>
      </c>
    </row>
    <row r="74" spans="3:26" ht="23.25" x14ac:dyDescent="0.25">
      <c r="C74" s="67"/>
      <c r="D74" s="1"/>
      <c r="E74" s="1"/>
      <c r="F74" s="1"/>
      <c r="G74" s="1"/>
      <c r="H74" s="1"/>
      <c r="I74" s="6"/>
      <c r="J74" s="7"/>
      <c r="K74" s="1"/>
      <c r="L74" s="1"/>
      <c r="M74" s="1"/>
      <c r="N74" s="1"/>
      <c r="O74" s="1"/>
      <c r="P74" s="7"/>
      <c r="Q74" s="1"/>
      <c r="R74" s="7"/>
      <c r="S74" s="1"/>
      <c r="T74" s="53">
        <v>0.71875</v>
      </c>
      <c r="U74" s="54">
        <v>11792</v>
      </c>
      <c r="V74" s="54" t="s">
        <v>40</v>
      </c>
      <c r="W74" s="55">
        <v>100</v>
      </c>
      <c r="X74" s="56">
        <v>8449</v>
      </c>
      <c r="Y74" s="54" t="s">
        <v>124</v>
      </c>
      <c r="Z74" s="54" t="s">
        <v>128</v>
      </c>
    </row>
    <row r="75" spans="3:26" ht="23.25" x14ac:dyDescent="0.25">
      <c r="C75" s="67"/>
      <c r="D75" s="1"/>
      <c r="E75" s="1"/>
      <c r="F75" s="1"/>
      <c r="G75" s="1"/>
      <c r="H75" s="1"/>
      <c r="I75" s="6"/>
      <c r="J75" s="7"/>
      <c r="K75" s="1"/>
      <c r="L75" s="1"/>
      <c r="M75" s="1"/>
      <c r="N75" s="1"/>
      <c r="O75" s="1"/>
      <c r="P75" s="7"/>
      <c r="Q75" s="1"/>
      <c r="R75" s="7"/>
      <c r="S75" s="1"/>
      <c r="T75" s="53">
        <v>0.72222222222222221</v>
      </c>
      <c r="U75" s="54">
        <v>11793</v>
      </c>
      <c r="V75" s="54" t="s">
        <v>33</v>
      </c>
      <c r="W75" s="55">
        <v>100</v>
      </c>
      <c r="X75" s="56">
        <v>54458</v>
      </c>
      <c r="Y75" s="54" t="s">
        <v>124</v>
      </c>
      <c r="Z75" s="54" t="s">
        <v>34</v>
      </c>
    </row>
    <row r="76" spans="3:26" ht="23.25" x14ac:dyDescent="0.25">
      <c r="C76" s="67"/>
      <c r="D76" s="1"/>
      <c r="E76" s="1"/>
      <c r="F76" s="1"/>
      <c r="G76" s="1"/>
      <c r="H76" s="1"/>
      <c r="I76" s="6"/>
      <c r="J76" s="7"/>
      <c r="K76" s="1"/>
      <c r="L76" s="1"/>
      <c r="M76" s="1"/>
      <c r="N76" s="1"/>
      <c r="O76" s="1"/>
      <c r="P76" s="7"/>
      <c r="Q76" s="1"/>
      <c r="R76" s="7"/>
      <c r="S76" s="1"/>
      <c r="T76" s="53">
        <v>0.72986111111111107</v>
      </c>
      <c r="U76" s="54">
        <v>11794</v>
      </c>
      <c r="V76" s="54" t="s">
        <v>44</v>
      </c>
      <c r="W76" s="55">
        <v>100</v>
      </c>
      <c r="X76" s="56">
        <v>477128</v>
      </c>
      <c r="Y76" s="54" t="s">
        <v>124</v>
      </c>
      <c r="Z76" s="54" t="s">
        <v>45</v>
      </c>
    </row>
    <row r="77" spans="3:26" ht="23.25" x14ac:dyDescent="0.25">
      <c r="C77" s="67"/>
      <c r="D77" s="1"/>
      <c r="E77" s="1"/>
      <c r="F77" s="1"/>
      <c r="G77" s="1"/>
      <c r="H77" s="1"/>
      <c r="I77" s="6"/>
      <c r="J77" s="7"/>
      <c r="K77" s="1"/>
      <c r="L77" s="1"/>
      <c r="M77" s="1"/>
      <c r="N77" s="1"/>
      <c r="O77" s="1"/>
      <c r="P77" s="7"/>
      <c r="Q77" s="1"/>
      <c r="R77" s="7"/>
      <c r="S77" s="1"/>
      <c r="T77" s="53">
        <v>0.73472222222222228</v>
      </c>
      <c r="U77" s="54">
        <v>11795</v>
      </c>
      <c r="V77" s="54" t="s">
        <v>54</v>
      </c>
      <c r="W77" s="55">
        <v>76</v>
      </c>
      <c r="X77" s="56">
        <v>468683</v>
      </c>
      <c r="Y77" s="54" t="s">
        <v>124</v>
      </c>
      <c r="Z77" s="54" t="s">
        <v>129</v>
      </c>
    </row>
    <row r="78" spans="3:26" ht="23.25" x14ac:dyDescent="0.25">
      <c r="C78" s="67"/>
      <c r="D78" s="1"/>
      <c r="E78" s="1"/>
      <c r="F78" s="1"/>
      <c r="G78" s="1"/>
      <c r="H78" s="1"/>
      <c r="I78" s="6"/>
      <c r="J78" s="7"/>
      <c r="K78" s="1"/>
      <c r="L78" s="1"/>
      <c r="M78" s="1"/>
      <c r="N78" s="1"/>
      <c r="O78" s="1"/>
      <c r="P78" s="7"/>
      <c r="Q78" s="1"/>
      <c r="R78" s="7"/>
      <c r="S78" s="1"/>
      <c r="T78" s="53">
        <v>0.74236111111111114</v>
      </c>
      <c r="U78" s="54">
        <v>11796</v>
      </c>
      <c r="V78" s="54" t="s">
        <v>55</v>
      </c>
      <c r="W78" s="55">
        <v>100</v>
      </c>
      <c r="X78" s="56">
        <v>779423</v>
      </c>
      <c r="Y78" s="54" t="s">
        <v>124</v>
      </c>
      <c r="Z78" s="54" t="s">
        <v>130</v>
      </c>
    </row>
    <row r="79" spans="3:26" ht="23.25" x14ac:dyDescent="0.25">
      <c r="C79" s="67"/>
      <c r="D79" s="1"/>
      <c r="E79" s="1"/>
      <c r="F79" s="1"/>
      <c r="G79" s="1"/>
      <c r="H79" s="1"/>
      <c r="I79" s="6"/>
      <c r="J79" s="7"/>
      <c r="K79" s="1"/>
      <c r="L79" s="1"/>
      <c r="M79" s="1"/>
      <c r="N79" s="1"/>
      <c r="O79" s="1"/>
      <c r="P79" s="7"/>
      <c r="Q79" s="1"/>
      <c r="R79" s="7"/>
      <c r="S79" s="1"/>
      <c r="T79" s="53">
        <v>0.74861111111111112</v>
      </c>
      <c r="U79" s="54">
        <v>11797</v>
      </c>
      <c r="V79" s="54" t="s">
        <v>43</v>
      </c>
      <c r="W79" s="55">
        <v>100</v>
      </c>
      <c r="X79" s="56">
        <v>440675</v>
      </c>
      <c r="Y79" s="54" t="s">
        <v>124</v>
      </c>
      <c r="Z79" s="54" t="s">
        <v>131</v>
      </c>
    </row>
    <row r="80" spans="3:26" ht="23.25" x14ac:dyDescent="0.25">
      <c r="C80" s="67"/>
      <c r="D80" s="1"/>
      <c r="E80" s="1"/>
      <c r="F80" s="1"/>
      <c r="G80" s="1"/>
      <c r="H80" s="1"/>
      <c r="I80" s="6"/>
      <c r="J80" s="7"/>
      <c r="K80" s="1"/>
      <c r="L80" s="1"/>
      <c r="M80" s="1"/>
      <c r="N80" s="1"/>
      <c r="O80" s="1"/>
      <c r="P80" s="7"/>
      <c r="Q80" s="1"/>
      <c r="R80" s="7"/>
      <c r="S80" s="1"/>
      <c r="T80" s="53">
        <v>0.75624999999999998</v>
      </c>
      <c r="U80" s="54">
        <v>11798</v>
      </c>
      <c r="V80" s="54" t="s">
        <v>53</v>
      </c>
      <c r="W80" s="55">
        <v>100</v>
      </c>
      <c r="X80" s="56">
        <v>35789</v>
      </c>
      <c r="Y80" s="54" t="s">
        <v>124</v>
      </c>
      <c r="Z80" s="54" t="s">
        <v>132</v>
      </c>
    </row>
    <row r="81" spans="3:26" ht="23.25" x14ac:dyDescent="0.25">
      <c r="C81" s="67"/>
      <c r="D81" s="1"/>
      <c r="E81" s="1"/>
      <c r="F81" s="1"/>
      <c r="G81" s="1"/>
      <c r="H81" s="1"/>
      <c r="I81" s="6"/>
      <c r="J81" s="7"/>
      <c r="K81" s="1"/>
      <c r="L81" s="1"/>
      <c r="M81" s="1"/>
      <c r="N81" s="1"/>
      <c r="O81" s="1"/>
      <c r="P81" s="7"/>
      <c r="Q81" s="1"/>
      <c r="R81" s="7"/>
      <c r="S81" s="1"/>
      <c r="T81" s="53"/>
      <c r="U81" s="54"/>
      <c r="V81" s="54"/>
      <c r="W81" s="55"/>
      <c r="X81" s="56"/>
      <c r="Y81" s="54"/>
      <c r="Z81" s="54"/>
    </row>
    <row r="82" spans="3:26" ht="23.25" x14ac:dyDescent="0.25">
      <c r="C82" s="67"/>
      <c r="D82" s="1"/>
      <c r="E82" s="1"/>
      <c r="F82" s="1"/>
      <c r="G82" s="1"/>
      <c r="H82" s="1"/>
      <c r="I82" s="6"/>
      <c r="J82" s="7"/>
      <c r="K82" s="1"/>
      <c r="L82" s="1"/>
      <c r="M82" s="1"/>
      <c r="N82" s="1"/>
      <c r="O82" s="1"/>
      <c r="P82" s="7"/>
      <c r="Q82" s="1"/>
      <c r="R82" s="7"/>
      <c r="S82" s="1"/>
      <c r="T82" s="1"/>
      <c r="U82" s="1"/>
      <c r="V82" s="57" t="s">
        <v>49</v>
      </c>
      <c r="W82" s="58">
        <f>SUM(W70:W81)</f>
        <v>1076</v>
      </c>
      <c r="X82" s="7"/>
      <c r="Y82" s="1"/>
      <c r="Z82" s="1"/>
    </row>
    <row r="83" spans="3:26" ht="23.25" x14ac:dyDescent="0.25">
      <c r="C83" s="67"/>
      <c r="D83" s="1"/>
      <c r="E83" s="1"/>
      <c r="F83" s="1"/>
      <c r="G83" s="1"/>
      <c r="H83" s="1"/>
      <c r="I83" s="6"/>
      <c r="J83" s="7"/>
      <c r="K83" s="1"/>
      <c r="L83" s="1"/>
      <c r="M83" s="1"/>
      <c r="N83" s="1"/>
      <c r="O83" s="1"/>
      <c r="P83" s="7"/>
      <c r="Q83" s="1"/>
      <c r="R83" s="7"/>
      <c r="S83" s="1"/>
      <c r="T83" s="1"/>
      <c r="U83" s="1"/>
      <c r="V83" s="59" t="s">
        <v>52</v>
      </c>
      <c r="W83" s="60">
        <f>W68-W82</f>
        <v>130</v>
      </c>
      <c r="X83" s="7"/>
      <c r="Y83" s="1"/>
      <c r="Z83" s="1"/>
    </row>
    <row r="84" spans="3:26" ht="23.25" x14ac:dyDescent="0.25">
      <c r="C84" s="67"/>
      <c r="D84" s="1"/>
      <c r="E84" s="1"/>
      <c r="F84" s="1"/>
      <c r="G84" s="1"/>
      <c r="H84" s="1"/>
      <c r="I84" s="6"/>
      <c r="J84" s="7"/>
      <c r="K84" s="1"/>
      <c r="L84" s="1"/>
      <c r="M84" s="1"/>
      <c r="N84" s="1"/>
      <c r="O84" s="1"/>
      <c r="P84" s="7"/>
      <c r="Q84" s="1"/>
      <c r="R84" s="7"/>
      <c r="S84" s="1"/>
      <c r="T84" s="1"/>
      <c r="U84" s="1"/>
      <c r="V84" s="1"/>
      <c r="W84" s="6"/>
      <c r="X84" s="7"/>
      <c r="Y84" s="1"/>
      <c r="Z84" s="1"/>
    </row>
    <row r="85" spans="3:26" ht="23.25" x14ac:dyDescent="0.25">
      <c r="C85" s="67"/>
      <c r="D85" s="1"/>
      <c r="E85" s="2"/>
      <c r="F85" s="2"/>
      <c r="G85" s="2"/>
      <c r="H85" s="2"/>
      <c r="I85" s="3"/>
      <c r="J85" s="4"/>
      <c r="K85" s="2"/>
      <c r="L85" s="2"/>
      <c r="M85" s="5"/>
      <c r="N85" s="5"/>
      <c r="O85" s="5"/>
      <c r="P85" s="4"/>
      <c r="Q85" s="2"/>
      <c r="R85" s="4"/>
      <c r="S85" s="2"/>
      <c r="T85" s="2"/>
      <c r="U85" s="2"/>
      <c r="V85" s="2"/>
      <c r="W85" s="3"/>
      <c r="X85" s="4"/>
      <c r="Y85" s="5"/>
      <c r="Z85" s="5"/>
    </row>
    <row r="86" spans="3:26" ht="23.25" x14ac:dyDescent="0.25">
      <c r="C86" s="67"/>
      <c r="D86" s="1"/>
      <c r="E86" s="1"/>
      <c r="F86" s="1"/>
      <c r="G86" s="1"/>
      <c r="H86" s="1"/>
      <c r="I86" s="6"/>
      <c r="J86" s="7"/>
      <c r="K86" s="1"/>
      <c r="L86" s="1"/>
      <c r="M86" s="1"/>
      <c r="P86" s="7"/>
      <c r="Q86" s="1"/>
      <c r="R86" s="7"/>
      <c r="S86" s="1"/>
      <c r="T86" s="1"/>
      <c r="U86" s="1"/>
      <c r="V86" s="1"/>
      <c r="W86" s="6"/>
      <c r="X86" s="7"/>
      <c r="Y86" s="1"/>
      <c r="Z86" s="1"/>
    </row>
    <row r="87" spans="3:26" ht="23.25" x14ac:dyDescent="0.25">
      <c r="C87" s="67"/>
      <c r="D87" s="1"/>
      <c r="E87" s="8" t="s">
        <v>133</v>
      </c>
      <c r="F87" s="9"/>
      <c r="G87" s="9"/>
      <c r="H87" s="9"/>
      <c r="I87" s="10"/>
      <c r="J87" s="11" t="s">
        <v>0</v>
      </c>
      <c r="K87" s="8"/>
      <c r="L87" s="9"/>
      <c r="M87" s="12"/>
      <c r="P87" s="13"/>
      <c r="Q87" s="14"/>
      <c r="R87" s="15"/>
      <c r="S87" s="14"/>
      <c r="T87" s="8" t="s">
        <v>133</v>
      </c>
      <c r="U87" s="9"/>
      <c r="V87" s="9"/>
      <c r="W87" s="16"/>
      <c r="X87" s="11" t="s">
        <v>1</v>
      </c>
      <c r="Y87" s="8"/>
      <c r="Z87" s="14"/>
    </row>
    <row r="88" spans="3:26" ht="23.25" x14ac:dyDescent="0.25">
      <c r="C88" s="67"/>
      <c r="D88" s="1"/>
      <c r="E88" s="14"/>
      <c r="F88" s="14"/>
      <c r="G88" s="14"/>
      <c r="H88" s="14"/>
      <c r="I88" s="10"/>
      <c r="J88" s="17" t="s">
        <v>2</v>
      </c>
      <c r="K88" s="14" t="s">
        <v>2</v>
      </c>
      <c r="L88" s="14"/>
      <c r="M88" s="12"/>
      <c r="P88" s="13"/>
      <c r="Q88" s="14"/>
      <c r="R88" s="17"/>
      <c r="S88" s="14"/>
      <c r="T88" s="12"/>
      <c r="U88" s="12"/>
      <c r="V88" s="12"/>
      <c r="W88" s="18"/>
      <c r="X88" s="17"/>
      <c r="Y88" s="14"/>
      <c r="Z88" s="14"/>
    </row>
    <row r="89" spans="3:26" ht="23.25" x14ac:dyDescent="0.25">
      <c r="C89" s="67"/>
      <c r="D89" s="1"/>
      <c r="E89" s="1"/>
      <c r="F89" s="1"/>
      <c r="G89" s="1"/>
      <c r="H89" s="1"/>
      <c r="I89" s="6"/>
      <c r="J89" s="7"/>
      <c r="K89" s="1"/>
      <c r="L89" s="1"/>
      <c r="M89" s="12"/>
      <c r="P89" s="17"/>
      <c r="Q89" s="14"/>
      <c r="R89" s="23"/>
      <c r="S89" s="14"/>
      <c r="T89" s="1"/>
      <c r="U89" s="1"/>
      <c r="V89" s="1"/>
      <c r="W89" s="6"/>
      <c r="X89" s="17" t="s">
        <v>2</v>
      </c>
      <c r="Y89" s="14"/>
      <c r="Z89" s="14"/>
    </row>
    <row r="90" spans="3:26" ht="24" thickBot="1" x14ac:dyDescent="0.4">
      <c r="C90" s="72"/>
      <c r="D90" s="73"/>
      <c r="E90" s="73"/>
      <c r="F90" s="73"/>
      <c r="G90" s="73"/>
      <c r="H90" s="73"/>
      <c r="I90" s="74"/>
      <c r="J90" s="75"/>
      <c r="K90" s="73"/>
      <c r="L90" s="73"/>
      <c r="M90" s="73"/>
      <c r="N90" s="73"/>
      <c r="O90" s="76"/>
      <c r="P90" s="13"/>
      <c r="Q90" s="14"/>
      <c r="R90" s="17"/>
      <c r="S90" s="14"/>
      <c r="X90" s="17"/>
      <c r="Y90" s="14"/>
      <c r="Z90" s="14"/>
    </row>
    <row r="91" spans="3:26" ht="24" thickBot="1" x14ac:dyDescent="0.4">
      <c r="C91" s="77" t="s">
        <v>134</v>
      </c>
      <c r="D91" s="78"/>
      <c r="E91" s="79"/>
      <c r="F91" s="78"/>
      <c r="G91" s="80" t="s">
        <v>135</v>
      </c>
      <c r="H91" s="81" t="s">
        <v>136</v>
      </c>
      <c r="I91" s="82"/>
      <c r="J91" s="83"/>
      <c r="K91" s="84">
        <v>10000</v>
      </c>
      <c r="L91" s="81" t="s">
        <v>137</v>
      </c>
      <c r="M91" s="78"/>
      <c r="N91" s="84">
        <v>10000</v>
      </c>
      <c r="O91" s="85"/>
      <c r="P91" s="13"/>
      <c r="Q91" s="14"/>
      <c r="R91" s="17"/>
      <c r="S91" s="14"/>
      <c r="X91" s="7"/>
      <c r="Y91" s="1"/>
      <c r="Z91" s="1"/>
    </row>
    <row r="92" spans="3:26" ht="23.25" x14ac:dyDescent="0.35">
      <c r="C92" s="72"/>
      <c r="D92" s="73"/>
      <c r="E92" s="73"/>
      <c r="F92" s="73"/>
      <c r="G92" s="73"/>
      <c r="H92" s="73"/>
      <c r="I92" s="74"/>
      <c r="J92" s="75"/>
      <c r="K92" s="73"/>
      <c r="L92" s="73"/>
      <c r="M92" s="73"/>
      <c r="N92" s="73"/>
      <c r="O92" s="76"/>
      <c r="P92" s="7"/>
      <c r="Q92" s="1"/>
      <c r="R92" s="7"/>
      <c r="S92" s="14"/>
      <c r="T92" s="64" t="s">
        <v>138</v>
      </c>
      <c r="U92" s="65" t="s">
        <v>24</v>
      </c>
      <c r="V92" s="26">
        <v>11787</v>
      </c>
      <c r="W92" s="66">
        <f>W83</f>
        <v>130</v>
      </c>
      <c r="X92" s="7"/>
      <c r="Y92" s="1"/>
      <c r="Z92" s="1"/>
    </row>
    <row r="93" spans="3:26" ht="23.25" x14ac:dyDescent="0.25">
      <c r="C93" s="67"/>
      <c r="D93" s="1"/>
      <c r="N93" s="1"/>
      <c r="O93" s="1"/>
      <c r="P93" s="7"/>
      <c r="Q93" s="1"/>
      <c r="R93" s="7"/>
      <c r="S93" s="43"/>
      <c r="T93" s="14"/>
      <c r="U93" s="14"/>
      <c r="V93" s="14"/>
      <c r="W93" s="28">
        <f>W91+W92</f>
        <v>130</v>
      </c>
      <c r="X93" s="29"/>
      <c r="Y93" s="14"/>
      <c r="Z93" s="14"/>
    </row>
    <row r="94" spans="3:26" ht="24" thickBot="1" x14ac:dyDescent="0.3">
      <c r="C94" s="67"/>
      <c r="D94" s="1"/>
      <c r="E94" s="1"/>
      <c r="F94" s="1"/>
      <c r="G94" s="1"/>
      <c r="H94" s="1"/>
      <c r="I94" s="6"/>
      <c r="J94" s="7"/>
      <c r="K94" s="1"/>
      <c r="L94" s="1"/>
      <c r="M94" s="1"/>
      <c r="P94" s="7"/>
      <c r="Q94" s="1"/>
      <c r="R94" s="7"/>
      <c r="S94" s="14"/>
      <c r="T94" s="68" t="s">
        <v>23</v>
      </c>
      <c r="U94" s="68" t="s">
        <v>24</v>
      </c>
      <c r="V94" s="68" t="s">
        <v>25</v>
      </c>
      <c r="W94" s="69" t="s">
        <v>26</v>
      </c>
      <c r="X94" s="70" t="s">
        <v>12</v>
      </c>
      <c r="Y94" s="68" t="s">
        <v>27</v>
      </c>
      <c r="Z94" s="68" t="s">
        <v>28</v>
      </c>
    </row>
    <row r="95" spans="3:26" ht="24" thickBot="1" x14ac:dyDescent="0.3">
      <c r="C95" s="67"/>
      <c r="D95" s="1"/>
      <c r="E95" s="19" t="s">
        <v>3</v>
      </c>
      <c r="F95" s="19"/>
      <c r="G95" s="19"/>
      <c r="H95" s="20">
        <v>10000</v>
      </c>
      <c r="I95" s="10"/>
      <c r="J95" s="21" t="s">
        <v>4</v>
      </c>
      <c r="K95" s="19"/>
      <c r="L95" s="22">
        <f>H95-I104</f>
        <v>9390</v>
      </c>
      <c r="M95" s="1"/>
      <c r="P95" s="7"/>
      <c r="Q95" s="1"/>
      <c r="R95" s="7"/>
      <c r="S95" s="14"/>
      <c r="T95" s="53">
        <v>0.23125000000000001</v>
      </c>
      <c r="U95" s="54">
        <v>11799</v>
      </c>
      <c r="V95" s="54" t="s">
        <v>20</v>
      </c>
      <c r="W95" s="55">
        <v>55</v>
      </c>
      <c r="X95" s="56">
        <v>69631</v>
      </c>
      <c r="Y95" s="54" t="s">
        <v>71</v>
      </c>
      <c r="Z95" s="54" t="s">
        <v>139</v>
      </c>
    </row>
    <row r="96" spans="3:26" ht="23.25" x14ac:dyDescent="0.25">
      <c r="C96" s="67"/>
      <c r="D96" s="1"/>
      <c r="E96" s="1"/>
      <c r="F96" s="1"/>
      <c r="G96" s="1"/>
      <c r="H96" s="1"/>
      <c r="I96" s="6"/>
      <c r="J96" s="7"/>
      <c r="K96" s="1"/>
      <c r="L96" s="1"/>
      <c r="M96" s="1"/>
      <c r="S96" s="14"/>
      <c r="V96" s="57" t="s">
        <v>49</v>
      </c>
      <c r="W96" s="58">
        <f>SUM(W95)</f>
        <v>55</v>
      </c>
    </row>
    <row r="97" spans="3:26" ht="23.25" x14ac:dyDescent="0.25">
      <c r="C97" s="67"/>
      <c r="D97" s="1"/>
      <c r="E97" s="1"/>
      <c r="F97" s="1"/>
      <c r="G97" s="1"/>
      <c r="H97" s="1"/>
      <c r="I97" s="6"/>
      <c r="J97" s="7"/>
      <c r="K97" s="1"/>
      <c r="L97" s="1"/>
      <c r="M97" s="1"/>
      <c r="S97" s="14"/>
      <c r="V97" s="59" t="s">
        <v>52</v>
      </c>
      <c r="W97" s="60">
        <f>W93-W96</f>
        <v>75</v>
      </c>
    </row>
    <row r="98" spans="3:26" ht="23.25" x14ac:dyDescent="0.25">
      <c r="C98" s="67"/>
      <c r="D98" s="1"/>
      <c r="E98" s="30" t="s">
        <v>7</v>
      </c>
      <c r="F98" s="30" t="s">
        <v>8</v>
      </c>
      <c r="G98" s="30" t="s">
        <v>9</v>
      </c>
      <c r="H98" s="30" t="s">
        <v>10</v>
      </c>
      <c r="I98" s="31" t="s">
        <v>11</v>
      </c>
      <c r="J98" s="32" t="s">
        <v>12</v>
      </c>
      <c r="K98" s="30" t="s">
        <v>13</v>
      </c>
      <c r="L98" s="30" t="s">
        <v>14</v>
      </c>
      <c r="M98" s="30" t="s">
        <v>15</v>
      </c>
      <c r="P98" s="33" t="s">
        <v>16</v>
      </c>
      <c r="Q98" s="12"/>
      <c r="R98" s="33" t="s">
        <v>17</v>
      </c>
      <c r="S98" s="14"/>
    </row>
    <row r="99" spans="3:26" ht="23.25" x14ac:dyDescent="0.25">
      <c r="C99" s="67"/>
      <c r="D99" s="1"/>
      <c r="E99" s="36">
        <v>0.6166666666666667</v>
      </c>
      <c r="F99" s="37">
        <v>12903</v>
      </c>
      <c r="G99" s="37" t="s">
        <v>19</v>
      </c>
      <c r="H99" s="37" t="s">
        <v>32</v>
      </c>
      <c r="I99" s="38">
        <v>150</v>
      </c>
      <c r="J99" s="39">
        <v>5073</v>
      </c>
      <c r="K99" s="38">
        <v>2462259</v>
      </c>
      <c r="L99" s="38">
        <f>K99+I99</f>
        <v>2462409</v>
      </c>
      <c r="M99" s="40">
        <f>K91-I99</f>
        <v>9850</v>
      </c>
      <c r="N99" s="1"/>
      <c r="O99" s="1"/>
      <c r="P99" s="42">
        <f>I99*(100%-2%)</f>
        <v>147</v>
      </c>
      <c r="Q99" s="18"/>
      <c r="R99" s="42">
        <f>N91-P99</f>
        <v>9853</v>
      </c>
      <c r="S99" s="14"/>
      <c r="X99" s="7"/>
      <c r="Y99" s="1"/>
      <c r="Z99" s="1"/>
    </row>
    <row r="100" spans="3:26" ht="23.25" x14ac:dyDescent="0.25">
      <c r="C100" s="67">
        <v>2462870</v>
      </c>
      <c r="D100" s="1"/>
      <c r="E100" s="36">
        <v>0.65833333333333333</v>
      </c>
      <c r="F100" s="37">
        <v>12904</v>
      </c>
      <c r="G100" s="37" t="s">
        <v>19</v>
      </c>
      <c r="H100" s="37" t="s">
        <v>41</v>
      </c>
      <c r="I100" s="38">
        <v>50</v>
      </c>
      <c r="J100" s="39">
        <v>30544</v>
      </c>
      <c r="K100" s="38">
        <v>2462409</v>
      </c>
      <c r="L100" s="38">
        <f>K100+I100</f>
        <v>2462459</v>
      </c>
      <c r="M100" s="40">
        <f>M99-I100</f>
        <v>9800</v>
      </c>
      <c r="N100" s="1"/>
      <c r="O100" s="1"/>
      <c r="P100" s="42">
        <f>I100*(100%-2%)</f>
        <v>49</v>
      </c>
      <c r="Q100" s="18"/>
      <c r="R100" s="42">
        <f>R99-P100</f>
        <v>9804</v>
      </c>
      <c r="S100" s="14"/>
      <c r="T100" s="86" t="s">
        <v>140</v>
      </c>
      <c r="U100" s="87" t="s">
        <v>24</v>
      </c>
      <c r="V100" s="26">
        <v>386189080</v>
      </c>
      <c r="W100" s="88">
        <v>360</v>
      </c>
      <c r="X100" s="7"/>
      <c r="Y100" s="1"/>
      <c r="Z100" s="1"/>
    </row>
    <row r="101" spans="3:26" ht="23.25" x14ac:dyDescent="0.25">
      <c r="C101" s="67"/>
      <c r="D101" s="1"/>
      <c r="E101" s="36">
        <v>0.66736111111111107</v>
      </c>
      <c r="F101" s="37">
        <v>12905</v>
      </c>
      <c r="G101" s="37" t="s">
        <v>19</v>
      </c>
      <c r="H101" s="37" t="s">
        <v>56</v>
      </c>
      <c r="I101" s="38">
        <v>200</v>
      </c>
      <c r="J101" s="39">
        <v>5306</v>
      </c>
      <c r="K101" s="38">
        <v>2462460</v>
      </c>
      <c r="L101" s="38">
        <f t="shared" ref="L101:L102" si="3">K101+I101</f>
        <v>2462660</v>
      </c>
      <c r="M101" s="40">
        <f t="shared" ref="M101:M102" si="4">M100-I101</f>
        <v>9600</v>
      </c>
      <c r="N101" s="1"/>
      <c r="O101" s="1"/>
      <c r="P101" s="42">
        <f>I101*(100%-2%)</f>
        <v>196</v>
      </c>
      <c r="Q101" s="18"/>
      <c r="R101" s="42">
        <f>R100-P101</f>
        <v>9608</v>
      </c>
      <c r="S101" s="1"/>
      <c r="T101" s="86" t="s">
        <v>140</v>
      </c>
      <c r="U101" s="87" t="s">
        <v>24</v>
      </c>
      <c r="V101" s="26">
        <v>386188990</v>
      </c>
      <c r="W101" s="88">
        <v>360</v>
      </c>
      <c r="X101" s="7"/>
      <c r="Y101" s="1"/>
      <c r="Z101" s="1"/>
    </row>
    <row r="102" spans="3:26" ht="23.25" x14ac:dyDescent="0.25">
      <c r="C102" s="67"/>
      <c r="D102" s="1"/>
      <c r="E102" s="36">
        <v>0.67708333333333337</v>
      </c>
      <c r="F102" s="37">
        <v>12906</v>
      </c>
      <c r="G102" s="37" t="s">
        <v>19</v>
      </c>
      <c r="H102" s="37" t="s">
        <v>47</v>
      </c>
      <c r="I102" s="38">
        <v>210</v>
      </c>
      <c r="J102" s="39">
        <v>10931</v>
      </c>
      <c r="K102" s="38">
        <v>2462660</v>
      </c>
      <c r="L102" s="38">
        <f t="shared" si="3"/>
        <v>2462870</v>
      </c>
      <c r="M102" s="40">
        <f t="shared" si="4"/>
        <v>9390</v>
      </c>
      <c r="N102" s="1"/>
      <c r="O102" s="1"/>
      <c r="P102" s="42">
        <f>I102*(100%-2%)</f>
        <v>205.79999999999998</v>
      </c>
      <c r="Q102" s="18"/>
      <c r="R102" s="42">
        <f>R101-P102</f>
        <v>9402.2000000000007</v>
      </c>
      <c r="S102" s="1"/>
      <c r="T102" s="86" t="s">
        <v>140</v>
      </c>
      <c r="U102" s="87" t="s">
        <v>24</v>
      </c>
      <c r="V102" s="26">
        <v>386189030</v>
      </c>
      <c r="W102" s="88">
        <v>360</v>
      </c>
      <c r="X102" s="7"/>
      <c r="Y102" s="1"/>
      <c r="Z102" s="1"/>
    </row>
    <row r="103" spans="3:26" ht="24" thickBot="1" x14ac:dyDescent="0.3">
      <c r="C103" s="67"/>
      <c r="D103" s="1"/>
      <c r="E103" s="1"/>
      <c r="F103" s="1"/>
      <c r="G103" s="1"/>
      <c r="H103" s="1"/>
      <c r="I103" s="6"/>
      <c r="J103" s="7"/>
      <c r="K103" s="1"/>
      <c r="L103" s="1"/>
      <c r="M103" s="1"/>
      <c r="N103" s="1"/>
      <c r="O103" s="1"/>
      <c r="S103" s="1"/>
      <c r="T103" s="86" t="s">
        <v>140</v>
      </c>
      <c r="U103" s="87" t="s">
        <v>24</v>
      </c>
      <c r="V103" s="26">
        <v>386189100</v>
      </c>
      <c r="W103" s="88">
        <v>47</v>
      </c>
      <c r="X103" s="7"/>
      <c r="Y103" s="14"/>
      <c r="Z103" s="14"/>
    </row>
    <row r="104" spans="3:26" ht="24" thickBot="1" x14ac:dyDescent="0.3">
      <c r="C104" s="67"/>
      <c r="D104" s="1"/>
      <c r="E104" s="1"/>
      <c r="F104" s="1"/>
      <c r="G104" s="61" t="s">
        <v>141</v>
      </c>
      <c r="H104" s="62"/>
      <c r="I104" s="63">
        <f>SUM(I99:I102)</f>
        <v>610</v>
      </c>
      <c r="J104" s="7"/>
      <c r="K104" s="1"/>
      <c r="L104" s="1"/>
      <c r="M104" s="1"/>
      <c r="N104" s="1"/>
      <c r="O104" s="1"/>
      <c r="P104" s="7"/>
      <c r="Q104" s="1"/>
      <c r="R104" s="7"/>
      <c r="S104" s="1"/>
      <c r="T104" s="14"/>
      <c r="U104" s="14"/>
      <c r="V104" s="14"/>
      <c r="W104" s="28">
        <f>SUM(W100:W103)</f>
        <v>1127</v>
      </c>
      <c r="X104" s="29">
        <f>W104*27.49</f>
        <v>30981.23</v>
      </c>
      <c r="Y104" s="1"/>
      <c r="Z104" s="1"/>
    </row>
    <row r="105" spans="3:26" ht="23.25" x14ac:dyDescent="0.25">
      <c r="C105" s="67"/>
      <c r="D105" s="1"/>
      <c r="E105" s="1"/>
      <c r="F105" s="1"/>
      <c r="G105" s="1"/>
      <c r="H105" s="1"/>
      <c r="I105" s="6"/>
      <c r="J105" s="7"/>
      <c r="K105" s="1"/>
      <c r="L105" s="1"/>
      <c r="M105" s="1"/>
      <c r="N105" s="1"/>
      <c r="O105" s="1"/>
      <c r="P105" s="7"/>
      <c r="Q105" s="1"/>
      <c r="R105" s="7"/>
      <c r="S105" s="1"/>
      <c r="T105" s="89" t="s">
        <v>23</v>
      </c>
      <c r="U105" s="89" t="s">
        <v>24</v>
      </c>
      <c r="V105" s="89" t="s">
        <v>25</v>
      </c>
      <c r="W105" s="90" t="s">
        <v>26</v>
      </c>
      <c r="X105" s="91" t="s">
        <v>12</v>
      </c>
      <c r="Y105" s="89" t="s">
        <v>27</v>
      </c>
      <c r="Z105" s="89" t="s">
        <v>28</v>
      </c>
    </row>
    <row r="106" spans="3:26" ht="23.25" x14ac:dyDescent="0.25">
      <c r="C106" s="67"/>
      <c r="D106" s="1"/>
      <c r="E106" s="1"/>
      <c r="F106" s="1"/>
      <c r="G106" s="1"/>
      <c r="H106" s="1"/>
      <c r="I106" s="6"/>
      <c r="K106" s="71"/>
      <c r="M106" s="1"/>
      <c r="N106" s="1"/>
      <c r="O106" s="1"/>
      <c r="P106" s="7"/>
      <c r="Q106" s="1"/>
      <c r="R106" s="7"/>
      <c r="S106" s="1"/>
      <c r="T106" s="53">
        <v>0.41805555555555557</v>
      </c>
      <c r="U106" s="54">
        <v>12751</v>
      </c>
      <c r="V106" s="54" t="s">
        <v>36</v>
      </c>
      <c r="W106" s="55">
        <v>100</v>
      </c>
      <c r="X106" s="56">
        <v>502916</v>
      </c>
      <c r="Y106" s="54" t="s">
        <v>37</v>
      </c>
      <c r="Z106" s="54" t="s">
        <v>142</v>
      </c>
    </row>
    <row r="107" spans="3:26" ht="24" thickBot="1" x14ac:dyDescent="0.4">
      <c r="C107" s="72"/>
      <c r="D107" s="73"/>
      <c r="E107" s="73"/>
      <c r="F107" s="73"/>
      <c r="G107" s="73"/>
      <c r="H107" s="73"/>
      <c r="I107" s="74"/>
      <c r="J107" s="75"/>
      <c r="K107" s="73"/>
      <c r="L107" s="73"/>
      <c r="M107" s="73"/>
      <c r="N107" s="73"/>
      <c r="O107" s="76"/>
      <c r="P107" s="7"/>
      <c r="Q107" s="1"/>
      <c r="R107" s="7"/>
      <c r="S107" s="1"/>
      <c r="T107" s="53">
        <v>0.4236111111111111</v>
      </c>
      <c r="U107" s="54">
        <v>12752</v>
      </c>
      <c r="V107" s="54" t="s">
        <v>103</v>
      </c>
      <c r="W107" s="55">
        <v>100</v>
      </c>
      <c r="X107" s="56">
        <v>1022272</v>
      </c>
      <c r="Y107" s="54" t="s">
        <v>37</v>
      </c>
      <c r="Z107" s="54" t="s">
        <v>79</v>
      </c>
    </row>
    <row r="108" spans="3:26" ht="24" thickBot="1" x14ac:dyDescent="0.4">
      <c r="C108" s="77" t="s">
        <v>134</v>
      </c>
      <c r="D108" s="78"/>
      <c r="E108" s="79"/>
      <c r="F108" s="78"/>
      <c r="G108" s="80" t="s">
        <v>135</v>
      </c>
      <c r="H108" s="81" t="s">
        <v>136</v>
      </c>
      <c r="I108" s="82"/>
      <c r="J108" s="83"/>
      <c r="K108" s="84">
        <v>11000</v>
      </c>
      <c r="L108" s="81" t="s">
        <v>137</v>
      </c>
      <c r="M108" s="78"/>
      <c r="N108" s="84">
        <f>N91-I104+K108</f>
        <v>20390</v>
      </c>
      <c r="O108" s="85"/>
      <c r="P108" s="7"/>
      <c r="Q108" s="1"/>
      <c r="R108" s="7"/>
      <c r="S108" s="1"/>
      <c r="T108" s="53">
        <v>0.42638888888888887</v>
      </c>
      <c r="U108" s="54">
        <v>12753</v>
      </c>
      <c r="V108" s="54" t="s">
        <v>20</v>
      </c>
      <c r="W108" s="55">
        <v>45</v>
      </c>
      <c r="X108" s="56">
        <v>69723</v>
      </c>
      <c r="Y108" s="54" t="s">
        <v>37</v>
      </c>
      <c r="Z108" s="54" t="s">
        <v>139</v>
      </c>
    </row>
    <row r="109" spans="3:26" ht="23.25" x14ac:dyDescent="0.35">
      <c r="C109" s="72"/>
      <c r="D109" s="73"/>
      <c r="E109" s="73"/>
      <c r="F109" s="73"/>
      <c r="G109" s="73"/>
      <c r="H109" s="73"/>
      <c r="I109" s="74"/>
      <c r="J109" s="75"/>
      <c r="K109" s="73"/>
      <c r="L109" s="73"/>
      <c r="M109" s="73"/>
      <c r="N109" s="73"/>
      <c r="O109" s="76"/>
      <c r="P109" s="7"/>
      <c r="Q109" s="1"/>
      <c r="R109" s="7"/>
      <c r="S109" s="1"/>
      <c r="T109" s="53"/>
      <c r="U109" s="54">
        <v>12754</v>
      </c>
      <c r="V109" s="54" t="s">
        <v>68</v>
      </c>
      <c r="W109" s="55">
        <v>73</v>
      </c>
      <c r="X109" s="56">
        <v>7155</v>
      </c>
      <c r="Y109" s="54" t="s">
        <v>66</v>
      </c>
      <c r="Z109" s="54" t="s">
        <v>69</v>
      </c>
    </row>
    <row r="110" spans="3:26" ht="23.25" x14ac:dyDescent="0.25">
      <c r="C110" s="67"/>
      <c r="D110" s="1"/>
      <c r="E110" s="1"/>
      <c r="F110" s="1"/>
      <c r="G110" s="1"/>
      <c r="H110" s="1"/>
      <c r="I110" s="6"/>
      <c r="J110" s="7"/>
      <c r="K110" s="1"/>
      <c r="L110" s="1"/>
      <c r="M110" s="1"/>
      <c r="N110" s="1"/>
      <c r="O110" s="1"/>
      <c r="P110" s="7"/>
      <c r="Q110" s="1"/>
      <c r="R110" s="7"/>
      <c r="S110" s="1"/>
      <c r="T110" s="53"/>
      <c r="U110" s="54">
        <v>12755</v>
      </c>
      <c r="V110" s="54" t="s">
        <v>65</v>
      </c>
      <c r="W110" s="55">
        <v>100</v>
      </c>
      <c r="X110" s="56">
        <v>5032</v>
      </c>
      <c r="Y110" s="54" t="s">
        <v>66</v>
      </c>
      <c r="Z110" s="54" t="s">
        <v>67</v>
      </c>
    </row>
    <row r="111" spans="3:26" ht="24" thickBot="1" x14ac:dyDescent="0.3">
      <c r="C111" s="67"/>
      <c r="D111" s="1"/>
      <c r="E111" s="1"/>
      <c r="F111" s="1"/>
      <c r="G111" s="1"/>
      <c r="H111" s="1"/>
      <c r="I111" s="6"/>
      <c r="J111" s="7"/>
      <c r="K111" s="1"/>
      <c r="L111" s="1"/>
      <c r="M111" s="1"/>
      <c r="N111" s="1"/>
      <c r="O111" s="1"/>
      <c r="P111" s="7"/>
      <c r="Q111" s="1"/>
      <c r="R111" s="7"/>
      <c r="S111" s="1"/>
      <c r="T111" s="53">
        <v>0.5625</v>
      </c>
      <c r="U111" s="54">
        <v>12756</v>
      </c>
      <c r="V111" s="54" t="s">
        <v>86</v>
      </c>
      <c r="W111" s="55">
        <v>60</v>
      </c>
      <c r="X111" s="56">
        <v>1316</v>
      </c>
      <c r="Y111" s="54" t="s">
        <v>66</v>
      </c>
      <c r="Z111" s="54" t="s">
        <v>46</v>
      </c>
    </row>
    <row r="112" spans="3:26" ht="24" thickBot="1" x14ac:dyDescent="0.3">
      <c r="C112" s="67"/>
      <c r="D112" s="1"/>
      <c r="E112" s="19" t="s">
        <v>3</v>
      </c>
      <c r="F112" s="19"/>
      <c r="G112" s="19"/>
      <c r="H112" s="20">
        <f>N108</f>
        <v>20390</v>
      </c>
      <c r="I112" s="10"/>
      <c r="J112" s="21" t="s">
        <v>4</v>
      </c>
      <c r="K112" s="19"/>
      <c r="L112" s="22">
        <f>H112-I121</f>
        <v>20310</v>
      </c>
      <c r="M112" s="1"/>
      <c r="N112" s="1"/>
      <c r="O112" s="1"/>
      <c r="P112" s="7"/>
      <c r="Q112" s="1"/>
      <c r="R112" s="7"/>
      <c r="S112" s="1"/>
      <c r="T112" s="53">
        <v>0.56597222222222221</v>
      </c>
      <c r="U112" s="54">
        <v>12757</v>
      </c>
      <c r="V112" s="54" t="s">
        <v>143</v>
      </c>
      <c r="W112" s="55">
        <v>8</v>
      </c>
      <c r="X112" s="56"/>
      <c r="Y112" s="54" t="s">
        <v>66</v>
      </c>
      <c r="Z112" s="54"/>
    </row>
    <row r="113" spans="3:26" ht="23.25" x14ac:dyDescent="0.25">
      <c r="C113" s="67"/>
      <c r="D113" s="1"/>
      <c r="E113" s="1"/>
      <c r="F113" s="1"/>
      <c r="G113" s="1"/>
      <c r="H113" s="1"/>
      <c r="I113" s="6"/>
      <c r="J113" s="7"/>
      <c r="K113" s="1"/>
      <c r="L113" s="1"/>
      <c r="M113" s="1"/>
      <c r="N113" s="1"/>
      <c r="O113" s="1"/>
      <c r="P113" s="7"/>
      <c r="Q113" s="1"/>
      <c r="R113" s="7"/>
      <c r="S113" s="1"/>
      <c r="T113" s="53">
        <v>0.57986111111111116</v>
      </c>
      <c r="U113" s="54">
        <v>12758</v>
      </c>
      <c r="V113" s="54" t="s">
        <v>38</v>
      </c>
      <c r="W113" s="55">
        <v>100</v>
      </c>
      <c r="X113" s="56">
        <v>13670</v>
      </c>
      <c r="Y113" s="54" t="s">
        <v>66</v>
      </c>
      <c r="Z113" s="54" t="s">
        <v>73</v>
      </c>
    </row>
    <row r="114" spans="3:26" ht="23.25" x14ac:dyDescent="0.25">
      <c r="C114" s="67"/>
      <c r="D114" s="1"/>
      <c r="E114" s="1"/>
      <c r="F114" s="1"/>
      <c r="G114" s="1"/>
      <c r="H114" s="1"/>
      <c r="I114" s="6"/>
      <c r="J114" s="7"/>
      <c r="K114" s="1"/>
      <c r="L114" s="1"/>
      <c r="M114" s="1"/>
      <c r="N114" s="1"/>
      <c r="O114" s="1"/>
      <c r="P114" s="7"/>
      <c r="Q114" s="1"/>
      <c r="R114" s="7"/>
      <c r="S114" s="1"/>
      <c r="T114" s="53">
        <v>0.58819444444444446</v>
      </c>
      <c r="U114" s="54">
        <v>12759</v>
      </c>
      <c r="V114" s="54" t="s">
        <v>48</v>
      </c>
      <c r="W114" s="55">
        <v>150</v>
      </c>
      <c r="X114" s="56">
        <v>115062</v>
      </c>
      <c r="Y114" s="54" t="s">
        <v>66</v>
      </c>
      <c r="Z114" s="54" t="s">
        <v>84</v>
      </c>
    </row>
    <row r="115" spans="3:26" ht="23.25" x14ac:dyDescent="0.25">
      <c r="C115" s="67"/>
      <c r="D115" s="1"/>
      <c r="E115" s="30" t="s">
        <v>7</v>
      </c>
      <c r="F115" s="30" t="s">
        <v>8</v>
      </c>
      <c r="G115" s="30" t="s">
        <v>9</v>
      </c>
      <c r="H115" s="30" t="s">
        <v>10</v>
      </c>
      <c r="I115" s="31" t="s">
        <v>11</v>
      </c>
      <c r="J115" s="32" t="s">
        <v>12</v>
      </c>
      <c r="K115" s="30" t="s">
        <v>13</v>
      </c>
      <c r="L115" s="30" t="s">
        <v>14</v>
      </c>
      <c r="M115" s="30" t="s">
        <v>15</v>
      </c>
      <c r="N115" s="1"/>
      <c r="O115" s="1"/>
      <c r="P115" s="33" t="s">
        <v>16</v>
      </c>
      <c r="Q115" s="12"/>
      <c r="R115" s="33" t="s">
        <v>17</v>
      </c>
      <c r="S115" s="1"/>
      <c r="T115" s="53">
        <v>0.59861111111111109</v>
      </c>
      <c r="U115" s="54">
        <v>12760</v>
      </c>
      <c r="V115" s="54" t="s">
        <v>51</v>
      </c>
      <c r="W115" s="55">
        <v>150</v>
      </c>
      <c r="X115" s="56">
        <v>124849</v>
      </c>
      <c r="Y115" s="54" t="s">
        <v>66</v>
      </c>
      <c r="Z115" s="54" t="s">
        <v>85</v>
      </c>
    </row>
    <row r="116" spans="3:26" ht="23.25" x14ac:dyDescent="0.25">
      <c r="C116" s="67"/>
      <c r="D116" s="1"/>
      <c r="E116" s="36">
        <v>0.73611111111111116</v>
      </c>
      <c r="F116" s="37">
        <v>12907</v>
      </c>
      <c r="G116" s="37" t="s">
        <v>19</v>
      </c>
      <c r="H116" s="37" t="s">
        <v>72</v>
      </c>
      <c r="I116" s="38">
        <v>205</v>
      </c>
      <c r="J116" s="39">
        <v>42364</v>
      </c>
      <c r="K116" s="38">
        <v>2462870</v>
      </c>
      <c r="L116" s="38">
        <f>K116+I116</f>
        <v>2463075</v>
      </c>
      <c r="M116" s="40">
        <f>N108-I116</f>
        <v>20185</v>
      </c>
      <c r="N116" s="1"/>
      <c r="O116" s="1"/>
      <c r="P116" s="42">
        <f>I116*(100%-2%)</f>
        <v>200.9</v>
      </c>
      <c r="Q116" s="18"/>
      <c r="R116" s="42">
        <f>N108-P116</f>
        <v>20189.099999999999</v>
      </c>
      <c r="S116" s="1"/>
      <c r="T116" s="53">
        <v>0.71944444444444444</v>
      </c>
      <c r="U116" s="54">
        <v>12761</v>
      </c>
      <c r="V116" s="54" t="s">
        <v>115</v>
      </c>
      <c r="W116" s="55">
        <v>18</v>
      </c>
      <c r="X116" s="56"/>
      <c r="Y116" s="54" t="s">
        <v>144</v>
      </c>
      <c r="Z116" s="54" t="s">
        <v>117</v>
      </c>
    </row>
    <row r="117" spans="3:26" ht="23.25" x14ac:dyDescent="0.25">
      <c r="C117" s="67"/>
      <c r="D117" s="1"/>
      <c r="E117" s="36">
        <v>0.74236111111111114</v>
      </c>
      <c r="F117" s="37">
        <v>12908</v>
      </c>
      <c r="G117" s="37" t="s">
        <v>19</v>
      </c>
      <c r="H117" s="37" t="s">
        <v>55</v>
      </c>
      <c r="I117" s="38">
        <v>220</v>
      </c>
      <c r="J117" s="39">
        <v>779685</v>
      </c>
      <c r="K117" s="38">
        <v>2463075</v>
      </c>
      <c r="L117" s="38">
        <f>K117+I117</f>
        <v>2463295</v>
      </c>
      <c r="M117" s="40">
        <f>M116-I117</f>
        <v>19965</v>
      </c>
      <c r="N117" s="1"/>
      <c r="O117" s="1"/>
      <c r="P117" s="42">
        <f>I117*(100%-2%)</f>
        <v>215.6</v>
      </c>
      <c r="Q117" s="18"/>
      <c r="R117" s="42">
        <f>R116-P117</f>
        <v>19973.5</v>
      </c>
      <c r="S117" s="1"/>
      <c r="T117" s="53">
        <v>0.76666666666666672</v>
      </c>
      <c r="U117" s="54">
        <v>12762</v>
      </c>
      <c r="V117" s="54" t="s">
        <v>145</v>
      </c>
      <c r="W117" s="55">
        <v>52</v>
      </c>
      <c r="X117" s="56"/>
      <c r="Y117" s="54" t="s">
        <v>146</v>
      </c>
      <c r="Z117" s="54"/>
    </row>
    <row r="118" spans="3:26" ht="23.25" x14ac:dyDescent="0.25">
      <c r="C118" s="67"/>
      <c r="D118" s="1"/>
      <c r="E118" s="36">
        <v>0.75138888888888888</v>
      </c>
      <c r="F118" s="37">
        <v>12909</v>
      </c>
      <c r="G118" s="37" t="s">
        <v>19</v>
      </c>
      <c r="H118" s="37" t="s">
        <v>57</v>
      </c>
      <c r="I118" s="38">
        <v>150</v>
      </c>
      <c r="J118" s="39">
        <v>431715</v>
      </c>
      <c r="K118" s="38">
        <v>2463296</v>
      </c>
      <c r="L118" s="38">
        <f t="shared" ref="L118:L124" si="5">K118+I118</f>
        <v>2463446</v>
      </c>
      <c r="M118" s="40">
        <f t="shared" ref="M118:M124" si="6">M117-I118</f>
        <v>19815</v>
      </c>
      <c r="N118" s="1"/>
      <c r="O118" s="1"/>
      <c r="P118" s="42">
        <f>I118*(100%-2%)</f>
        <v>147</v>
      </c>
      <c r="Q118" s="18"/>
      <c r="R118" s="42">
        <f>R117-P118</f>
        <v>19826.5</v>
      </c>
      <c r="S118" s="1"/>
      <c r="T118" s="53"/>
      <c r="U118" s="54"/>
      <c r="V118" s="54"/>
      <c r="W118" s="55"/>
      <c r="X118" s="56"/>
      <c r="Y118" s="54"/>
      <c r="Z118" s="54"/>
    </row>
    <row r="119" spans="3:26" ht="23.25" x14ac:dyDescent="0.25">
      <c r="C119" s="67"/>
      <c r="D119" s="1"/>
      <c r="E119" s="36">
        <v>0.7583333333333333</v>
      </c>
      <c r="F119" s="37">
        <v>12910</v>
      </c>
      <c r="G119" s="37" t="s">
        <v>19</v>
      </c>
      <c r="H119" s="37" t="s">
        <v>53</v>
      </c>
      <c r="I119" s="38">
        <v>120</v>
      </c>
      <c r="J119" s="39">
        <v>36050</v>
      </c>
      <c r="K119" s="38">
        <v>2463446</v>
      </c>
      <c r="L119" s="38">
        <f t="shared" si="5"/>
        <v>2463566</v>
      </c>
      <c r="M119" s="40">
        <f t="shared" si="6"/>
        <v>19695</v>
      </c>
      <c r="N119" s="1"/>
      <c r="O119" s="1"/>
      <c r="P119" s="42">
        <f>I119*(100%-2%)</f>
        <v>117.6</v>
      </c>
      <c r="Q119" s="18"/>
      <c r="R119" s="42">
        <f>R118-P119</f>
        <v>19708.900000000001</v>
      </c>
      <c r="S119" s="1"/>
      <c r="T119" s="53"/>
      <c r="U119" s="54"/>
      <c r="V119" s="54"/>
      <c r="W119" s="55"/>
      <c r="X119" s="56"/>
      <c r="Y119" s="54"/>
      <c r="Z119" s="54"/>
    </row>
    <row r="120" spans="3:26" ht="23.25" x14ac:dyDescent="0.25">
      <c r="C120" s="67"/>
      <c r="D120" s="1"/>
      <c r="E120" s="36">
        <v>0.76597222222222228</v>
      </c>
      <c r="F120" s="37">
        <v>12911</v>
      </c>
      <c r="G120" s="37" t="s">
        <v>19</v>
      </c>
      <c r="H120" s="37" t="s">
        <v>33</v>
      </c>
      <c r="I120" s="38">
        <v>100</v>
      </c>
      <c r="J120" s="39">
        <v>54716</v>
      </c>
      <c r="K120" s="38">
        <v>2463566</v>
      </c>
      <c r="L120" s="38">
        <f t="shared" si="5"/>
        <v>2463666</v>
      </c>
      <c r="M120" s="40">
        <f t="shared" si="6"/>
        <v>19595</v>
      </c>
      <c r="N120" s="1"/>
      <c r="O120" s="1"/>
      <c r="P120" s="42">
        <f>I120*(100%-2%)</f>
        <v>98</v>
      </c>
      <c r="Q120" s="18"/>
      <c r="R120" s="42">
        <f t="shared" ref="R120:R124" si="7">R119-P120</f>
        <v>19610.900000000001</v>
      </c>
      <c r="S120" s="1"/>
      <c r="T120" s="1"/>
      <c r="U120" s="1"/>
      <c r="V120" s="57" t="s">
        <v>49</v>
      </c>
      <c r="W120" s="58">
        <f>SUM(W106:W119)</f>
        <v>956</v>
      </c>
      <c r="X120" s="7"/>
      <c r="Y120" s="1"/>
      <c r="Z120" s="1"/>
    </row>
    <row r="121" spans="3:26" ht="23.25" x14ac:dyDescent="0.25">
      <c r="C121" s="67"/>
      <c r="D121" s="1"/>
      <c r="E121" s="36">
        <v>0.77430555555555558</v>
      </c>
      <c r="F121" s="37">
        <v>12912</v>
      </c>
      <c r="G121" s="37" t="s">
        <v>19</v>
      </c>
      <c r="H121" s="37" t="s">
        <v>43</v>
      </c>
      <c r="I121" s="38">
        <v>80</v>
      </c>
      <c r="J121" s="39">
        <v>440931</v>
      </c>
      <c r="K121" s="38">
        <v>2463667</v>
      </c>
      <c r="L121" s="38">
        <f t="shared" si="5"/>
        <v>2463747</v>
      </c>
      <c r="M121" s="40">
        <f t="shared" si="6"/>
        <v>19515</v>
      </c>
      <c r="N121" s="1"/>
      <c r="O121" s="1"/>
      <c r="P121" s="42">
        <f>I121*(100%-2%)</f>
        <v>78.400000000000006</v>
      </c>
      <c r="Q121" s="18"/>
      <c r="R121" s="42">
        <f t="shared" si="7"/>
        <v>19532.5</v>
      </c>
      <c r="S121" s="1"/>
      <c r="T121" s="1"/>
      <c r="U121" s="1"/>
      <c r="V121" s="59" t="s">
        <v>52</v>
      </c>
      <c r="W121" s="60">
        <f>W104-W120</f>
        <v>171</v>
      </c>
      <c r="X121" s="7"/>
      <c r="Y121" s="1"/>
      <c r="Z121" s="1"/>
    </row>
    <row r="122" spans="3:26" ht="23.25" x14ac:dyDescent="0.25">
      <c r="C122" s="67"/>
      <c r="D122" s="1"/>
      <c r="E122" s="36">
        <v>0.78194444444444444</v>
      </c>
      <c r="F122" s="37">
        <v>12913</v>
      </c>
      <c r="G122" s="37" t="s">
        <v>19</v>
      </c>
      <c r="H122" s="37" t="s">
        <v>35</v>
      </c>
      <c r="I122" s="38">
        <v>200</v>
      </c>
      <c r="J122" s="39">
        <v>34815</v>
      </c>
      <c r="K122" s="38">
        <v>2463747</v>
      </c>
      <c r="L122" s="38">
        <f t="shared" si="5"/>
        <v>2463947</v>
      </c>
      <c r="M122" s="40">
        <f t="shared" si="6"/>
        <v>19315</v>
      </c>
      <c r="N122" s="1"/>
      <c r="O122" s="1"/>
      <c r="P122" s="42">
        <f>I122*(100%-2%)</f>
        <v>196</v>
      </c>
      <c r="Q122" s="18"/>
      <c r="R122" s="42">
        <f t="shared" si="7"/>
        <v>19336.5</v>
      </c>
      <c r="S122" s="1"/>
      <c r="T122" s="1"/>
      <c r="U122" s="1"/>
      <c r="V122" s="1"/>
      <c r="W122" s="6"/>
      <c r="X122" s="7"/>
      <c r="Y122" s="1"/>
      <c r="Z122" s="1"/>
    </row>
    <row r="123" spans="3:26" ht="23.25" x14ac:dyDescent="0.25">
      <c r="C123" s="67"/>
      <c r="D123" s="1"/>
      <c r="E123" s="36">
        <v>0.79166666666666663</v>
      </c>
      <c r="F123" s="37">
        <v>12914</v>
      </c>
      <c r="G123" s="37" t="s">
        <v>19</v>
      </c>
      <c r="H123" s="37" t="s">
        <v>54</v>
      </c>
      <c r="I123" s="38">
        <v>77</v>
      </c>
      <c r="J123" s="39">
        <v>468949</v>
      </c>
      <c r="K123" s="38">
        <v>2463947</v>
      </c>
      <c r="L123" s="38">
        <f t="shared" si="5"/>
        <v>2464024</v>
      </c>
      <c r="M123" s="40">
        <f t="shared" si="6"/>
        <v>19238</v>
      </c>
      <c r="N123" s="1"/>
      <c r="O123" s="1"/>
      <c r="P123" s="42">
        <f>I123*(100%-2%)</f>
        <v>75.459999999999994</v>
      </c>
      <c r="Q123" s="18"/>
      <c r="R123" s="42">
        <f t="shared" si="7"/>
        <v>19261.04</v>
      </c>
      <c r="S123" s="1"/>
      <c r="T123" s="1"/>
      <c r="U123" s="1"/>
      <c r="V123" s="1"/>
      <c r="W123" s="6"/>
      <c r="X123" s="7"/>
      <c r="Y123" s="1"/>
      <c r="Z123" s="1"/>
    </row>
    <row r="124" spans="3:26" ht="23.25" x14ac:dyDescent="0.25">
      <c r="C124" s="67"/>
      <c r="D124" s="1"/>
      <c r="E124" s="36">
        <v>0.79652777777777772</v>
      </c>
      <c r="F124" s="37">
        <v>12915</v>
      </c>
      <c r="G124" s="37" t="s">
        <v>19</v>
      </c>
      <c r="H124" s="37" t="s">
        <v>36</v>
      </c>
      <c r="I124" s="38">
        <v>80</v>
      </c>
      <c r="J124" s="39">
        <v>503072</v>
      </c>
      <c r="K124" s="38">
        <v>2464024</v>
      </c>
      <c r="L124" s="38">
        <f t="shared" si="5"/>
        <v>2464104</v>
      </c>
      <c r="M124" s="40">
        <f t="shared" si="6"/>
        <v>19158</v>
      </c>
      <c r="N124" s="1"/>
      <c r="O124" s="1"/>
      <c r="P124" s="42">
        <f>I124*(100%-2%)</f>
        <v>78.400000000000006</v>
      </c>
      <c r="Q124" s="18"/>
      <c r="R124" s="42">
        <f t="shared" si="7"/>
        <v>19182.64</v>
      </c>
      <c r="S124" s="1"/>
      <c r="T124" s="1"/>
      <c r="U124" s="1"/>
      <c r="V124" s="1"/>
      <c r="W124" s="6"/>
      <c r="X124" s="7"/>
      <c r="Y124" s="1"/>
      <c r="Z124" s="1"/>
    </row>
    <row r="125" spans="3:26" ht="24" thickBot="1" x14ac:dyDescent="0.3">
      <c r="C125" s="67"/>
      <c r="D125" s="1"/>
      <c r="N125" s="1"/>
      <c r="O125" s="1"/>
      <c r="P125" s="7"/>
      <c r="Q125" s="1"/>
      <c r="R125" s="7"/>
      <c r="S125" s="1"/>
      <c r="T125" s="1"/>
      <c r="U125" s="1"/>
      <c r="V125" s="1"/>
      <c r="W125" s="6"/>
      <c r="X125" s="7"/>
      <c r="Y125" s="1"/>
      <c r="Z125" s="1"/>
    </row>
    <row r="126" spans="3:26" ht="24" thickBot="1" x14ac:dyDescent="0.3">
      <c r="C126" s="67"/>
      <c r="D126" s="1"/>
      <c r="E126" s="1"/>
      <c r="F126" s="1"/>
      <c r="G126" s="61" t="s">
        <v>141</v>
      </c>
      <c r="H126" s="62"/>
      <c r="I126" s="63">
        <f>SUM(I116:I124)</f>
        <v>1232</v>
      </c>
      <c r="J126" s="7"/>
      <c r="K126" s="1"/>
      <c r="L126" s="1"/>
      <c r="M126" s="1"/>
      <c r="N126" s="1"/>
      <c r="O126" s="1"/>
      <c r="P126" s="7"/>
      <c r="Q126" s="1"/>
      <c r="R126" s="7"/>
      <c r="S126" s="1"/>
      <c r="T126" s="1"/>
      <c r="U126" s="1"/>
      <c r="V126" s="1"/>
      <c r="W126" s="6"/>
      <c r="X126" s="7"/>
      <c r="Y126" s="1"/>
      <c r="Z126" s="1"/>
    </row>
    <row r="127" spans="3:26" ht="23.25" x14ac:dyDescent="0.25">
      <c r="C127" s="67"/>
      <c r="D127" s="1"/>
      <c r="E127" s="1"/>
      <c r="F127" s="1"/>
      <c r="G127" s="1"/>
      <c r="H127" s="1"/>
      <c r="I127" s="6"/>
      <c r="J127" s="7"/>
      <c r="K127" s="1"/>
      <c r="L127" s="1"/>
      <c r="M127" s="1"/>
      <c r="N127" s="1"/>
      <c r="O127" s="1"/>
      <c r="P127" s="7"/>
      <c r="Q127" s="1"/>
      <c r="R127" s="7"/>
      <c r="S127" s="1"/>
      <c r="T127" s="1"/>
      <c r="U127" s="1"/>
      <c r="V127" s="1"/>
      <c r="W127" s="6"/>
      <c r="X127" s="7"/>
      <c r="Y127" s="1"/>
      <c r="Z127" s="1"/>
    </row>
    <row r="128" spans="3:26" ht="23.25" x14ac:dyDescent="0.25">
      <c r="C128" s="67"/>
      <c r="D128" s="1"/>
      <c r="E128" s="1"/>
      <c r="F128" s="1"/>
      <c r="G128" s="1"/>
      <c r="H128" s="1"/>
      <c r="I128" s="6"/>
      <c r="J128" s="7"/>
      <c r="K128" s="1"/>
      <c r="L128" s="1"/>
      <c r="M128" s="1"/>
      <c r="N128" s="1"/>
      <c r="O128" s="1"/>
      <c r="P128" s="7"/>
      <c r="Q128" s="1"/>
      <c r="R128" s="7"/>
      <c r="S128" s="1"/>
      <c r="T128" s="1"/>
      <c r="U128" s="1"/>
      <c r="V128" s="1"/>
      <c r="W128" s="6"/>
      <c r="X128" s="7"/>
      <c r="Y128" s="1"/>
      <c r="Z128" s="1"/>
    </row>
    <row r="129" spans="3:26" ht="23.25" x14ac:dyDescent="0.25">
      <c r="C129" s="67"/>
      <c r="D129" s="1"/>
      <c r="E129" s="2"/>
      <c r="F129" s="2"/>
      <c r="G129" s="2"/>
      <c r="H129" s="2"/>
      <c r="I129" s="3"/>
      <c r="J129" s="4"/>
      <c r="K129" s="2"/>
      <c r="L129" s="2"/>
      <c r="M129" s="5"/>
      <c r="N129" s="5"/>
      <c r="O129" s="5"/>
      <c r="P129" s="4"/>
      <c r="Q129" s="2"/>
      <c r="R129" s="4"/>
      <c r="S129" s="2"/>
      <c r="T129" s="2"/>
      <c r="U129" s="2"/>
      <c r="V129" s="2"/>
      <c r="W129" s="3"/>
      <c r="X129" s="4"/>
      <c r="Y129" s="5"/>
      <c r="Z129" s="5"/>
    </row>
    <row r="130" spans="3:26" ht="23.25" x14ac:dyDescent="0.25">
      <c r="C130" s="67"/>
      <c r="D130" s="1"/>
      <c r="E130" s="1"/>
      <c r="F130" s="1"/>
      <c r="G130" s="1"/>
      <c r="H130" s="1"/>
      <c r="I130" s="6"/>
      <c r="J130" s="7"/>
      <c r="K130" s="1"/>
      <c r="L130" s="1"/>
      <c r="M130" s="1"/>
      <c r="P130" s="7"/>
      <c r="Q130" s="1"/>
      <c r="R130" s="7"/>
      <c r="S130" s="1"/>
      <c r="T130" s="1"/>
      <c r="U130" s="1"/>
      <c r="V130" s="1"/>
      <c r="W130" s="6"/>
      <c r="X130" s="7"/>
      <c r="Y130" s="1"/>
      <c r="Z130" s="1"/>
    </row>
    <row r="131" spans="3:26" ht="23.25" x14ac:dyDescent="0.25">
      <c r="C131" s="67"/>
      <c r="D131" s="1"/>
      <c r="E131" s="8" t="s">
        <v>147</v>
      </c>
      <c r="F131" s="9"/>
      <c r="G131" s="9"/>
      <c r="H131" s="9"/>
      <c r="I131" s="10"/>
      <c r="J131" s="11" t="s">
        <v>0</v>
      </c>
      <c r="K131" s="8"/>
      <c r="L131" s="9"/>
      <c r="M131" s="12"/>
      <c r="P131" s="13"/>
      <c r="Q131" s="14"/>
      <c r="R131" s="15"/>
      <c r="S131" s="14"/>
      <c r="T131" s="8" t="s">
        <v>147</v>
      </c>
      <c r="U131" s="9"/>
      <c r="V131" s="9"/>
      <c r="W131" s="16"/>
      <c r="X131" s="11" t="s">
        <v>1</v>
      </c>
      <c r="Y131" s="8"/>
      <c r="Z131" s="14"/>
    </row>
    <row r="132" spans="3:26" ht="24" thickBot="1" x14ac:dyDescent="0.3">
      <c r="C132" s="67"/>
      <c r="D132" s="1"/>
      <c r="E132" s="14"/>
      <c r="F132" s="14"/>
      <c r="G132" s="14"/>
      <c r="H132" s="14"/>
      <c r="I132" s="10"/>
      <c r="J132" s="17" t="s">
        <v>2</v>
      </c>
      <c r="K132" s="14" t="s">
        <v>2</v>
      </c>
      <c r="L132" s="14"/>
      <c r="M132" s="12"/>
      <c r="P132" s="13"/>
      <c r="Q132" s="14"/>
      <c r="R132" s="17"/>
      <c r="S132" s="14"/>
      <c r="T132" s="12"/>
      <c r="U132" s="12"/>
      <c r="V132" s="12"/>
      <c r="W132" s="18"/>
      <c r="X132" s="17"/>
      <c r="Y132" s="14"/>
      <c r="Z132" s="14"/>
    </row>
    <row r="133" spans="3:26" ht="24" thickBot="1" x14ac:dyDescent="0.3">
      <c r="C133" s="67"/>
      <c r="D133" s="1"/>
      <c r="E133" s="19" t="s">
        <v>3</v>
      </c>
      <c r="F133" s="19"/>
      <c r="G133" s="19"/>
      <c r="H133" s="20">
        <f>M124</f>
        <v>19158</v>
      </c>
      <c r="I133" s="10"/>
      <c r="J133" s="21" t="s">
        <v>4</v>
      </c>
      <c r="K133" s="19"/>
      <c r="L133" s="22">
        <f>H133-I158</f>
        <v>15852</v>
      </c>
      <c r="M133" s="12"/>
      <c r="P133" s="17"/>
      <c r="Q133" s="14"/>
      <c r="R133" s="23"/>
      <c r="S133" s="14"/>
      <c r="T133" s="1"/>
      <c r="U133" s="1"/>
      <c r="V133" s="1"/>
      <c r="W133" s="6"/>
      <c r="X133" s="17" t="s">
        <v>2</v>
      </c>
      <c r="Y133" s="14"/>
      <c r="Z133" s="14"/>
    </row>
    <row r="134" spans="3:26" ht="23.25" x14ac:dyDescent="0.25">
      <c r="C134" s="67"/>
      <c r="D134" s="1"/>
      <c r="E134" s="14"/>
      <c r="F134" s="14"/>
      <c r="G134" s="14"/>
      <c r="H134" s="14"/>
      <c r="I134" s="10"/>
      <c r="J134" s="17"/>
      <c r="K134" s="14"/>
      <c r="L134" s="14"/>
      <c r="M134" s="12"/>
      <c r="P134" s="13"/>
      <c r="Q134" s="14"/>
      <c r="R134" s="17"/>
      <c r="S134" s="14"/>
      <c r="X134" s="17"/>
      <c r="Y134" s="14"/>
      <c r="Z134" s="14"/>
    </row>
    <row r="135" spans="3:26" ht="23.25" x14ac:dyDescent="0.25">
      <c r="C135" s="67"/>
      <c r="D135" s="1"/>
      <c r="E135" s="14"/>
      <c r="F135" s="14"/>
      <c r="G135" s="14"/>
      <c r="H135" s="14"/>
      <c r="I135" s="10"/>
      <c r="J135" s="17"/>
      <c r="K135" s="14"/>
      <c r="L135" s="14"/>
      <c r="M135" s="12"/>
      <c r="P135" s="13"/>
      <c r="Q135" s="14"/>
      <c r="R135" s="17"/>
      <c r="S135" s="14"/>
      <c r="T135" s="92" t="s">
        <v>148</v>
      </c>
      <c r="U135" s="93"/>
      <c r="V135" s="26"/>
      <c r="W135" s="94">
        <v>171</v>
      </c>
      <c r="X135" s="7"/>
      <c r="Y135" s="1"/>
      <c r="Z135" s="1"/>
    </row>
    <row r="136" spans="3:26" ht="23.25" x14ac:dyDescent="0.25">
      <c r="C136" s="67"/>
      <c r="D136" s="1"/>
      <c r="E136" s="30" t="s">
        <v>7</v>
      </c>
      <c r="F136" s="30" t="s">
        <v>8</v>
      </c>
      <c r="G136" s="30" t="s">
        <v>9</v>
      </c>
      <c r="H136" s="30" t="s">
        <v>10</v>
      </c>
      <c r="I136" s="31" t="s">
        <v>11</v>
      </c>
      <c r="J136" s="32" t="s">
        <v>12</v>
      </c>
      <c r="K136" s="30" t="s">
        <v>13</v>
      </c>
      <c r="L136" s="30" t="s">
        <v>14</v>
      </c>
      <c r="M136" s="30" t="s">
        <v>15</v>
      </c>
      <c r="N136" s="41" t="s">
        <v>21</v>
      </c>
      <c r="O136" s="41" t="s">
        <v>22</v>
      </c>
      <c r="P136" s="33" t="s">
        <v>16</v>
      </c>
      <c r="Q136" s="12"/>
      <c r="R136" s="33" t="s">
        <v>17</v>
      </c>
      <c r="S136" s="14"/>
      <c r="T136" s="14"/>
      <c r="U136" s="14"/>
      <c r="V136" s="14"/>
      <c r="W136" s="28">
        <f>W135</f>
        <v>171</v>
      </c>
      <c r="X136" s="29"/>
      <c r="Y136" s="14"/>
      <c r="Z136" s="14"/>
    </row>
    <row r="137" spans="3:26" ht="23.25" x14ac:dyDescent="0.25">
      <c r="C137" s="67"/>
      <c r="D137" s="1"/>
      <c r="E137" s="47">
        <v>0.28333333333333333</v>
      </c>
      <c r="F137" s="48">
        <v>12916</v>
      </c>
      <c r="G137" s="48" t="s">
        <v>29</v>
      </c>
      <c r="H137" s="48" t="s">
        <v>30</v>
      </c>
      <c r="I137" s="49">
        <v>1179</v>
      </c>
      <c r="J137" s="50">
        <v>868800</v>
      </c>
      <c r="K137" s="49">
        <v>2464104</v>
      </c>
      <c r="L137" s="49">
        <f>K137+I137</f>
        <v>2465283</v>
      </c>
      <c r="M137" s="51">
        <f>M124-I137</f>
        <v>17979</v>
      </c>
      <c r="N137" s="52">
        <f>J137-J28</f>
        <v>2726</v>
      </c>
      <c r="O137" s="52">
        <f>W140+W120+W96+W82+W63+W49</f>
        <v>2723</v>
      </c>
      <c r="P137" s="49">
        <f>I137*(100%-2%)</f>
        <v>1155.42</v>
      </c>
      <c r="Q137" s="18"/>
      <c r="R137" s="42">
        <f>R124-P137</f>
        <v>18027.22</v>
      </c>
      <c r="S137" s="43"/>
      <c r="T137" s="89" t="s">
        <v>23</v>
      </c>
      <c r="U137" s="89" t="s">
        <v>24</v>
      </c>
      <c r="V137" s="89" t="s">
        <v>25</v>
      </c>
      <c r="W137" s="90" t="s">
        <v>26</v>
      </c>
      <c r="X137" s="91" t="s">
        <v>12</v>
      </c>
      <c r="Y137" s="89" t="s">
        <v>27</v>
      </c>
      <c r="Z137" s="89" t="s">
        <v>28</v>
      </c>
    </row>
    <row r="138" spans="3:26" ht="23.25" x14ac:dyDescent="0.25">
      <c r="C138" s="67"/>
      <c r="D138" s="1"/>
      <c r="E138" s="36">
        <v>0.30208333333333331</v>
      </c>
      <c r="F138" s="37">
        <v>12917</v>
      </c>
      <c r="G138" s="37" t="s">
        <v>61</v>
      </c>
      <c r="H138" s="37" t="s">
        <v>39</v>
      </c>
      <c r="I138" s="38">
        <v>105</v>
      </c>
      <c r="J138" s="39">
        <v>236095</v>
      </c>
      <c r="K138" s="38">
        <v>2465283</v>
      </c>
      <c r="L138" s="38">
        <f>K138+I138</f>
        <v>2465388</v>
      </c>
      <c r="M138" s="40">
        <f>M137-I138</f>
        <v>17874</v>
      </c>
      <c r="N138" s="1"/>
      <c r="O138" s="1"/>
      <c r="P138" s="42">
        <f>I138*(100%-2%)</f>
        <v>102.89999999999999</v>
      </c>
      <c r="Q138" s="18"/>
      <c r="R138" s="42">
        <f>R137-P138</f>
        <v>17924.32</v>
      </c>
      <c r="S138" s="14"/>
      <c r="T138" s="53">
        <v>0.23958333333333334</v>
      </c>
      <c r="U138" s="54">
        <v>12763</v>
      </c>
      <c r="V138" s="54" t="s">
        <v>20</v>
      </c>
      <c r="W138" s="55">
        <v>100</v>
      </c>
      <c r="X138" s="56">
        <v>69871</v>
      </c>
      <c r="Y138" s="54" t="s">
        <v>71</v>
      </c>
      <c r="Z138" s="54" t="s">
        <v>139</v>
      </c>
    </row>
    <row r="139" spans="3:26" ht="23.25" x14ac:dyDescent="0.25">
      <c r="C139" s="67"/>
      <c r="D139" s="1"/>
      <c r="E139" s="36">
        <v>0.34583333333333333</v>
      </c>
      <c r="F139" s="37">
        <v>12918</v>
      </c>
      <c r="G139" s="37" t="s">
        <v>31</v>
      </c>
      <c r="H139" s="37" t="s">
        <v>44</v>
      </c>
      <c r="I139" s="38">
        <v>47</v>
      </c>
      <c r="J139" s="39">
        <v>477128</v>
      </c>
      <c r="K139" s="38">
        <v>2465389</v>
      </c>
      <c r="L139" s="38">
        <f t="shared" ref="L139:L151" si="8">K139+I139</f>
        <v>2465436</v>
      </c>
      <c r="M139" s="40">
        <f t="shared" ref="M139:M151" si="9">M138-I139</f>
        <v>17827</v>
      </c>
      <c r="N139" s="1"/>
      <c r="O139" s="1"/>
      <c r="P139" s="42">
        <f>I139*(100%-2%)</f>
        <v>46.06</v>
      </c>
      <c r="Q139" s="18"/>
      <c r="R139" s="42">
        <f t="shared" ref="R139:R151" si="10">R138-P139</f>
        <v>17878.259999999998</v>
      </c>
      <c r="S139" s="14"/>
      <c r="T139" s="53">
        <v>0.25972222222222224</v>
      </c>
      <c r="U139" s="54">
        <v>12764</v>
      </c>
      <c r="V139" s="54" t="s">
        <v>30</v>
      </c>
      <c r="W139" s="55">
        <v>9</v>
      </c>
      <c r="X139" s="56"/>
      <c r="Y139" s="54" t="s">
        <v>149</v>
      </c>
      <c r="Z139" s="54"/>
    </row>
    <row r="140" spans="3:26" ht="23.25" x14ac:dyDescent="0.25">
      <c r="C140" s="67"/>
      <c r="D140" s="1"/>
      <c r="E140" s="36">
        <v>0.40277777777777779</v>
      </c>
      <c r="F140" s="37">
        <v>12919</v>
      </c>
      <c r="G140" s="37" t="s">
        <v>50</v>
      </c>
      <c r="H140" s="37" t="s">
        <v>150</v>
      </c>
      <c r="I140" s="38">
        <v>10</v>
      </c>
      <c r="J140" s="39"/>
      <c r="K140" s="38">
        <v>2465436</v>
      </c>
      <c r="L140" s="38">
        <f t="shared" si="8"/>
        <v>2465446</v>
      </c>
      <c r="M140" s="40">
        <f t="shared" si="9"/>
        <v>17817</v>
      </c>
      <c r="P140" s="42">
        <f>I140*(100%-2%)</f>
        <v>9.8000000000000007</v>
      </c>
      <c r="Q140" s="18"/>
      <c r="R140" s="42">
        <f t="shared" si="10"/>
        <v>17868.46</v>
      </c>
      <c r="S140" s="14"/>
      <c r="V140" s="57" t="s">
        <v>49</v>
      </c>
      <c r="W140" s="58">
        <f>SUM(W138:W139)</f>
        <v>109</v>
      </c>
    </row>
    <row r="141" spans="3:26" ht="23.25" x14ac:dyDescent="0.25">
      <c r="C141" s="67"/>
      <c r="D141" s="1"/>
      <c r="E141" s="36">
        <v>0.67777777777777781</v>
      </c>
      <c r="F141" s="37">
        <v>12920</v>
      </c>
      <c r="G141" s="37" t="s">
        <v>19</v>
      </c>
      <c r="H141" s="37" t="s">
        <v>32</v>
      </c>
      <c r="I141" s="38">
        <v>50</v>
      </c>
      <c r="J141" s="39">
        <v>5434</v>
      </c>
      <c r="K141" s="38">
        <v>2465446</v>
      </c>
      <c r="L141" s="38">
        <f t="shared" si="8"/>
        <v>2465496</v>
      </c>
      <c r="M141" s="40">
        <f t="shared" si="9"/>
        <v>17767</v>
      </c>
      <c r="P141" s="42">
        <f>I141*(100%-2%)</f>
        <v>49</v>
      </c>
      <c r="Q141" s="18"/>
      <c r="R141" s="42">
        <f t="shared" si="10"/>
        <v>17819.46</v>
      </c>
      <c r="S141" s="14"/>
      <c r="V141" s="59" t="s">
        <v>52</v>
      </c>
      <c r="W141" s="60">
        <f>W136-W140</f>
        <v>62</v>
      </c>
    </row>
    <row r="142" spans="3:26" ht="23.25" x14ac:dyDescent="0.25">
      <c r="C142" s="67"/>
      <c r="D142" s="1"/>
      <c r="E142" s="36">
        <v>0.69236111111111109</v>
      </c>
      <c r="F142" s="37">
        <v>12921</v>
      </c>
      <c r="G142" s="37" t="s">
        <v>19</v>
      </c>
      <c r="H142" s="37" t="s">
        <v>82</v>
      </c>
      <c r="I142" s="38">
        <v>100</v>
      </c>
      <c r="J142" s="39">
        <v>76248</v>
      </c>
      <c r="K142" s="38">
        <v>2465496</v>
      </c>
      <c r="L142" s="38">
        <f t="shared" si="8"/>
        <v>2465596</v>
      </c>
      <c r="M142" s="40">
        <f t="shared" si="9"/>
        <v>17667</v>
      </c>
      <c r="P142" s="42">
        <f>I142*(100%-2%)</f>
        <v>98</v>
      </c>
      <c r="Q142" s="18"/>
      <c r="R142" s="42">
        <f t="shared" si="10"/>
        <v>17721.46</v>
      </c>
      <c r="S142" s="14"/>
    </row>
    <row r="143" spans="3:26" ht="23.25" x14ac:dyDescent="0.25">
      <c r="C143" s="67"/>
      <c r="D143" s="1"/>
      <c r="E143" s="36">
        <v>0.70972222222222225</v>
      </c>
      <c r="F143" s="37">
        <v>12922</v>
      </c>
      <c r="G143" s="37" t="s">
        <v>19</v>
      </c>
      <c r="H143" s="37" t="s">
        <v>54</v>
      </c>
      <c r="I143" s="38">
        <v>89</v>
      </c>
      <c r="J143" s="39">
        <v>469251</v>
      </c>
      <c r="K143" s="38">
        <v>2465597</v>
      </c>
      <c r="L143" s="38">
        <f t="shared" si="8"/>
        <v>2465686</v>
      </c>
      <c r="M143" s="40">
        <f t="shared" si="9"/>
        <v>17578</v>
      </c>
      <c r="P143" s="42">
        <f>I143*(100%-2%)</f>
        <v>87.22</v>
      </c>
      <c r="Q143" s="18"/>
      <c r="R143" s="42">
        <f t="shared" si="10"/>
        <v>17634.239999999998</v>
      </c>
      <c r="S143" s="14"/>
    </row>
    <row r="144" spans="3:26" ht="23.25" x14ac:dyDescent="0.25">
      <c r="C144" s="67"/>
      <c r="D144" s="1"/>
      <c r="E144" s="36">
        <v>0.71597222222222223</v>
      </c>
      <c r="F144" s="37">
        <v>12923</v>
      </c>
      <c r="G144" s="37" t="s">
        <v>19</v>
      </c>
      <c r="H144" s="37" t="s">
        <v>41</v>
      </c>
      <c r="I144" s="38">
        <v>100</v>
      </c>
      <c r="J144" s="39">
        <v>30809</v>
      </c>
      <c r="K144" s="38">
        <v>2465686</v>
      </c>
      <c r="L144" s="38">
        <f t="shared" si="8"/>
        <v>2465786</v>
      </c>
      <c r="M144" s="40">
        <f t="shared" si="9"/>
        <v>17478</v>
      </c>
      <c r="P144" s="42">
        <f>I144*(100%-2%)</f>
        <v>98</v>
      </c>
      <c r="Q144" s="18"/>
      <c r="R144" s="42">
        <f t="shared" si="10"/>
        <v>17536.239999999998</v>
      </c>
      <c r="S144" s="14"/>
      <c r="T144" s="92" t="s">
        <v>151</v>
      </c>
      <c r="U144" s="93"/>
      <c r="V144" s="26"/>
      <c r="W144" s="27">
        <f>W141</f>
        <v>62</v>
      </c>
      <c r="X144" s="17" t="s">
        <v>2</v>
      </c>
      <c r="Y144" s="14"/>
      <c r="Z144" s="14"/>
    </row>
    <row r="145" spans="3:26" ht="23.25" x14ac:dyDescent="0.25">
      <c r="C145" s="67"/>
      <c r="D145" s="1"/>
      <c r="E145" s="36">
        <v>0.72361111111111109</v>
      </c>
      <c r="F145" s="37">
        <v>12924</v>
      </c>
      <c r="G145" s="37" t="s">
        <v>19</v>
      </c>
      <c r="H145" s="37" t="s">
        <v>33</v>
      </c>
      <c r="I145" s="38">
        <v>30</v>
      </c>
      <c r="J145" s="39">
        <v>54981</v>
      </c>
      <c r="K145" s="38">
        <v>2465786</v>
      </c>
      <c r="L145" s="38">
        <f t="shared" si="8"/>
        <v>2465816</v>
      </c>
      <c r="M145" s="40">
        <f t="shared" si="9"/>
        <v>17448</v>
      </c>
      <c r="P145" s="42">
        <f>I145*(100%-2%)</f>
        <v>29.4</v>
      </c>
      <c r="Q145" s="18"/>
      <c r="R145" s="42">
        <f t="shared" si="10"/>
        <v>17506.839999999997</v>
      </c>
      <c r="S145" s="1"/>
      <c r="T145" s="24" t="s">
        <v>5</v>
      </c>
      <c r="U145" s="25"/>
      <c r="V145" s="26">
        <v>12916</v>
      </c>
      <c r="W145" s="27">
        <f>P137</f>
        <v>1155.42</v>
      </c>
      <c r="X145" s="17"/>
      <c r="Y145" s="14"/>
      <c r="Z145" s="14"/>
    </row>
    <row r="146" spans="3:26" ht="23.25" x14ac:dyDescent="0.25">
      <c r="C146" s="67"/>
      <c r="D146" s="1"/>
      <c r="E146" s="36">
        <v>0.73958333333333337</v>
      </c>
      <c r="F146" s="37">
        <v>12925</v>
      </c>
      <c r="G146" s="37" t="s">
        <v>31</v>
      </c>
      <c r="H146" s="37" t="s">
        <v>43</v>
      </c>
      <c r="I146" s="38">
        <v>100</v>
      </c>
      <c r="J146" s="39">
        <v>441210</v>
      </c>
      <c r="K146" s="38">
        <v>2465817</v>
      </c>
      <c r="L146" s="38">
        <f t="shared" si="8"/>
        <v>2465917</v>
      </c>
      <c r="M146" s="40">
        <f t="shared" si="9"/>
        <v>17348</v>
      </c>
      <c r="P146" s="42">
        <f>I146*(100%-2%)</f>
        <v>98</v>
      </c>
      <c r="Q146" s="18"/>
      <c r="R146" s="42">
        <f t="shared" si="10"/>
        <v>17408.839999999997</v>
      </c>
      <c r="S146" s="1"/>
      <c r="T146" s="14"/>
      <c r="U146" s="14"/>
      <c r="V146" s="14"/>
      <c r="W146" s="28">
        <v>1200</v>
      </c>
      <c r="X146" s="29"/>
      <c r="Y146" s="14"/>
      <c r="Z146" s="14"/>
    </row>
    <row r="147" spans="3:26" ht="23.25" x14ac:dyDescent="0.25">
      <c r="C147" s="67"/>
      <c r="D147" s="1"/>
      <c r="E147" s="36"/>
      <c r="F147" s="37">
        <v>12926</v>
      </c>
      <c r="G147" s="37" t="s">
        <v>31</v>
      </c>
      <c r="H147" s="37" t="s">
        <v>53</v>
      </c>
      <c r="I147" s="38">
        <f>L147-K147</f>
        <v>120</v>
      </c>
      <c r="J147" s="39"/>
      <c r="K147" s="38">
        <v>2465917</v>
      </c>
      <c r="L147" s="38">
        <v>2466037</v>
      </c>
      <c r="M147" s="40">
        <f t="shared" si="9"/>
        <v>17228</v>
      </c>
      <c r="P147" s="42">
        <f>I147*(100%-2%)</f>
        <v>117.6</v>
      </c>
      <c r="Q147" s="18"/>
      <c r="R147" s="42">
        <f t="shared" si="10"/>
        <v>17291.239999999998</v>
      </c>
      <c r="S147" s="1"/>
      <c r="T147" s="44" t="s">
        <v>23</v>
      </c>
      <c r="U147" s="44" t="s">
        <v>24</v>
      </c>
      <c r="V147" s="44" t="s">
        <v>25</v>
      </c>
      <c r="W147" s="45" t="s">
        <v>26</v>
      </c>
      <c r="X147" s="46" t="s">
        <v>12</v>
      </c>
      <c r="Y147" s="44" t="s">
        <v>27</v>
      </c>
      <c r="Z147" s="44" t="s">
        <v>28</v>
      </c>
    </row>
    <row r="148" spans="3:26" ht="23.25" x14ac:dyDescent="0.25">
      <c r="C148" s="67"/>
      <c r="D148" s="1"/>
      <c r="E148" s="36">
        <v>0.75624999999999998</v>
      </c>
      <c r="F148" s="37">
        <v>12927</v>
      </c>
      <c r="G148" s="37" t="s">
        <v>19</v>
      </c>
      <c r="H148" s="37" t="s">
        <v>39</v>
      </c>
      <c r="I148" s="38">
        <v>100</v>
      </c>
      <c r="J148" s="39">
        <v>238195</v>
      </c>
      <c r="K148" s="38">
        <v>2466037</v>
      </c>
      <c r="L148" s="38">
        <f t="shared" si="8"/>
        <v>2466137</v>
      </c>
      <c r="M148" s="40">
        <f t="shared" si="9"/>
        <v>17128</v>
      </c>
      <c r="N148" s="1"/>
      <c r="O148" s="1"/>
      <c r="P148" s="42">
        <f>I148*(100%-2%)</f>
        <v>98</v>
      </c>
      <c r="Q148" s="18"/>
      <c r="R148" s="42">
        <f t="shared" si="10"/>
        <v>17193.239999999998</v>
      </c>
      <c r="S148" s="1"/>
      <c r="T148" s="53">
        <v>0.3347222222222222</v>
      </c>
      <c r="U148" s="54">
        <v>12765</v>
      </c>
      <c r="V148" s="54" t="s">
        <v>60</v>
      </c>
      <c r="W148" s="55">
        <v>300</v>
      </c>
      <c r="X148" s="56">
        <v>3370</v>
      </c>
      <c r="Y148" s="54" t="s">
        <v>101</v>
      </c>
      <c r="Z148" s="54" t="s">
        <v>61</v>
      </c>
    </row>
    <row r="149" spans="3:26" ht="23.25" x14ac:dyDescent="0.25">
      <c r="C149" s="67"/>
      <c r="D149" s="1"/>
      <c r="E149" s="36">
        <v>0.77083333333333337</v>
      </c>
      <c r="F149" s="37">
        <v>12928</v>
      </c>
      <c r="G149" s="37" t="s">
        <v>19</v>
      </c>
      <c r="H149" s="37" t="s">
        <v>40</v>
      </c>
      <c r="I149" s="38">
        <v>80</v>
      </c>
      <c r="J149" s="39">
        <v>8911</v>
      </c>
      <c r="K149" s="38">
        <v>2466137</v>
      </c>
      <c r="L149" s="38">
        <f t="shared" si="8"/>
        <v>2466217</v>
      </c>
      <c r="M149" s="40">
        <f t="shared" si="9"/>
        <v>17048</v>
      </c>
      <c r="N149" s="1"/>
      <c r="O149" s="1"/>
      <c r="P149" s="42">
        <f>I149*(100%-2%)</f>
        <v>78.400000000000006</v>
      </c>
      <c r="Q149" s="18"/>
      <c r="R149" s="42">
        <f t="shared" si="10"/>
        <v>17114.839999999997</v>
      </c>
      <c r="S149" s="1"/>
      <c r="T149" s="53">
        <v>0.37847222222222221</v>
      </c>
      <c r="U149" s="54">
        <v>12766</v>
      </c>
      <c r="V149" s="54" t="s">
        <v>74</v>
      </c>
      <c r="W149" s="55">
        <v>305</v>
      </c>
      <c r="X149" s="56">
        <v>2338</v>
      </c>
      <c r="Y149" s="54" t="s">
        <v>75</v>
      </c>
      <c r="Z149" s="54" t="s">
        <v>76</v>
      </c>
    </row>
    <row r="150" spans="3:26" ht="23.25" x14ac:dyDescent="0.25">
      <c r="C150" s="67"/>
      <c r="D150" s="1"/>
      <c r="E150" s="36">
        <v>0.7729166666666667</v>
      </c>
      <c r="F150" s="37">
        <v>12929</v>
      </c>
      <c r="G150" s="37" t="s">
        <v>19</v>
      </c>
      <c r="H150" s="37" t="s">
        <v>36</v>
      </c>
      <c r="I150" s="38">
        <v>50</v>
      </c>
      <c r="J150" s="39">
        <v>503123</v>
      </c>
      <c r="K150" s="38">
        <v>2466218</v>
      </c>
      <c r="L150" s="38">
        <f t="shared" si="8"/>
        <v>2466268</v>
      </c>
      <c r="M150" s="40">
        <f t="shared" si="9"/>
        <v>16998</v>
      </c>
      <c r="N150" s="41" t="s">
        <v>21</v>
      </c>
      <c r="O150" s="41" t="s">
        <v>22</v>
      </c>
      <c r="P150" s="42">
        <f>I150*(100%-2%)</f>
        <v>49</v>
      </c>
      <c r="Q150" s="18"/>
      <c r="R150" s="42">
        <f t="shared" si="10"/>
        <v>17065.839999999997</v>
      </c>
      <c r="S150" s="1"/>
      <c r="T150" s="53">
        <v>0.46944444444444444</v>
      </c>
      <c r="U150" s="54">
        <v>12767</v>
      </c>
      <c r="V150" s="54" t="s">
        <v>103</v>
      </c>
      <c r="W150" s="55">
        <v>100</v>
      </c>
      <c r="X150" s="56">
        <v>1022504</v>
      </c>
      <c r="Y150" s="54" t="s">
        <v>37</v>
      </c>
      <c r="Z150" s="54"/>
    </row>
    <row r="151" spans="3:26" ht="23.25" x14ac:dyDescent="0.25">
      <c r="C151" s="67"/>
      <c r="D151" s="1"/>
      <c r="E151" s="47">
        <v>0.78055555555555556</v>
      </c>
      <c r="F151" s="48">
        <v>12930</v>
      </c>
      <c r="G151" s="48" t="s">
        <v>19</v>
      </c>
      <c r="H151" s="48" t="s">
        <v>30</v>
      </c>
      <c r="I151" s="49">
        <v>1146</v>
      </c>
      <c r="J151" s="50">
        <v>869929</v>
      </c>
      <c r="K151" s="49">
        <v>2466268</v>
      </c>
      <c r="L151" s="49">
        <f t="shared" si="8"/>
        <v>2467414</v>
      </c>
      <c r="M151" s="51">
        <f t="shared" si="9"/>
        <v>15852</v>
      </c>
      <c r="N151" s="52">
        <f>J151-J137</f>
        <v>1129</v>
      </c>
      <c r="O151" s="52">
        <f>W156</f>
        <v>1113</v>
      </c>
      <c r="P151" s="49">
        <f>I151*(100%-2%)</f>
        <v>1123.08</v>
      </c>
      <c r="Q151" s="18"/>
      <c r="R151" s="42">
        <f t="shared" si="10"/>
        <v>15942.759999999997</v>
      </c>
      <c r="S151" s="1"/>
      <c r="T151" s="53">
        <v>0.47291666666666665</v>
      </c>
      <c r="U151" s="54">
        <v>12768</v>
      </c>
      <c r="V151" s="54" t="s">
        <v>40</v>
      </c>
      <c r="W151" s="55">
        <v>100</v>
      </c>
      <c r="X151" s="56">
        <v>8800</v>
      </c>
      <c r="Y151" s="54" t="s">
        <v>37</v>
      </c>
      <c r="Z151" s="54" t="s">
        <v>152</v>
      </c>
    </row>
    <row r="152" spans="3:26" ht="23.25" x14ac:dyDescent="0.25">
      <c r="C152" s="67"/>
      <c r="D152" s="1"/>
      <c r="S152" s="1"/>
      <c r="T152" s="53">
        <v>0.59722222222222221</v>
      </c>
      <c r="U152" s="54">
        <v>12769</v>
      </c>
      <c r="V152" s="54" t="s">
        <v>63</v>
      </c>
      <c r="W152" s="55">
        <v>63</v>
      </c>
      <c r="X152" s="56">
        <v>4846</v>
      </c>
      <c r="Y152" s="54" t="s">
        <v>93</v>
      </c>
      <c r="Z152" s="54" t="s">
        <v>153</v>
      </c>
    </row>
    <row r="153" spans="3:26" ht="23.25" x14ac:dyDescent="0.25">
      <c r="C153" s="67"/>
      <c r="D153" s="1"/>
      <c r="S153" s="1"/>
      <c r="T153" s="53">
        <v>0.60555555555555551</v>
      </c>
      <c r="U153" s="54">
        <v>12770</v>
      </c>
      <c r="V153" s="54" t="s">
        <v>94</v>
      </c>
      <c r="W153" s="55">
        <v>131</v>
      </c>
      <c r="X153" s="56">
        <v>2478</v>
      </c>
      <c r="Y153" s="54" t="s">
        <v>93</v>
      </c>
      <c r="Z153" s="54"/>
    </row>
    <row r="154" spans="3:26" ht="23.25" x14ac:dyDescent="0.25">
      <c r="C154" s="67"/>
      <c r="D154" s="1"/>
      <c r="S154" s="1"/>
      <c r="T154" s="53">
        <v>0.6166666666666667</v>
      </c>
      <c r="U154" s="54">
        <v>12771</v>
      </c>
      <c r="V154" s="54" t="s">
        <v>154</v>
      </c>
      <c r="W154" s="55">
        <v>102</v>
      </c>
      <c r="X154" s="56">
        <v>2478</v>
      </c>
      <c r="Y154" s="54" t="s">
        <v>154</v>
      </c>
      <c r="Z154" s="54" t="s">
        <v>155</v>
      </c>
    </row>
    <row r="155" spans="3:26" ht="23.25" x14ac:dyDescent="0.25">
      <c r="C155" s="67"/>
      <c r="D155" s="1"/>
      <c r="S155" s="1"/>
      <c r="T155" s="53"/>
      <c r="U155" s="54">
        <v>12772</v>
      </c>
      <c r="V155" s="54" t="s">
        <v>156</v>
      </c>
      <c r="W155" s="55">
        <v>12</v>
      </c>
      <c r="X155" s="56"/>
      <c r="Y155" s="54" t="s">
        <v>93</v>
      </c>
      <c r="Z155" s="54"/>
    </row>
    <row r="156" spans="3:26" ht="23.25" x14ac:dyDescent="0.25">
      <c r="C156" s="67"/>
      <c r="D156" s="1"/>
      <c r="S156" s="1"/>
      <c r="T156" s="1"/>
      <c r="U156" s="1"/>
      <c r="V156" s="57" t="s">
        <v>49</v>
      </c>
      <c r="W156" s="58">
        <f>SUM(W148:W155)</f>
        <v>1113</v>
      </c>
      <c r="X156" s="7"/>
      <c r="Y156" s="1"/>
      <c r="Z156" s="1"/>
    </row>
    <row r="157" spans="3:26" ht="24" thickBot="1" x14ac:dyDescent="0.3">
      <c r="C157" s="67"/>
      <c r="D157" s="1"/>
      <c r="E157" s="1"/>
      <c r="F157" s="1"/>
      <c r="G157" s="1"/>
      <c r="H157" s="1"/>
      <c r="I157" s="6"/>
      <c r="J157" s="7"/>
      <c r="K157" s="1"/>
      <c r="L157" s="1"/>
      <c r="M157" s="1"/>
      <c r="N157" s="1"/>
      <c r="O157" s="1"/>
      <c r="P157" s="7"/>
      <c r="Q157" s="1"/>
      <c r="R157" s="7"/>
      <c r="S157" s="1"/>
      <c r="T157" s="1"/>
      <c r="U157" s="1"/>
      <c r="V157" s="59" t="s">
        <v>52</v>
      </c>
      <c r="W157" s="60">
        <f>W146-W156</f>
        <v>87</v>
      </c>
      <c r="X157" s="7"/>
      <c r="Y157" s="1"/>
      <c r="Z157" s="1"/>
    </row>
    <row r="158" spans="3:26" ht="24" thickBot="1" x14ac:dyDescent="0.3">
      <c r="C158" s="67"/>
      <c r="D158" s="1"/>
      <c r="E158" s="1"/>
      <c r="F158" s="1"/>
      <c r="G158" s="61" t="s">
        <v>88</v>
      </c>
      <c r="H158" s="62"/>
      <c r="I158" s="63">
        <f>SUM(I137:I151)</f>
        <v>3306</v>
      </c>
      <c r="J158" s="7"/>
      <c r="K158" s="1"/>
      <c r="L158" s="1"/>
      <c r="M158" s="1"/>
      <c r="N158" s="1"/>
      <c r="O158" s="1"/>
      <c r="P158" s="7"/>
      <c r="Q158" s="1"/>
      <c r="R158" s="7"/>
      <c r="S158" s="1"/>
      <c r="T158" s="1"/>
      <c r="U158" s="1"/>
      <c r="V158" s="1"/>
      <c r="W158" s="6"/>
      <c r="X158" s="7"/>
      <c r="Y158" s="1"/>
      <c r="Z158" s="1"/>
    </row>
    <row r="159" spans="3:26" ht="23.25" x14ac:dyDescent="0.25">
      <c r="C159" s="67"/>
      <c r="D159" s="1"/>
      <c r="E159" s="1"/>
      <c r="F159" s="1"/>
      <c r="G159" s="1"/>
      <c r="H159" s="1"/>
      <c r="I159" s="6"/>
      <c r="J159" s="7"/>
      <c r="K159" s="1"/>
      <c r="L159" s="1"/>
      <c r="M159" s="1"/>
      <c r="N159" s="1"/>
      <c r="O159" s="1"/>
      <c r="P159" s="7"/>
      <c r="Q159" s="1"/>
      <c r="R159" s="7"/>
      <c r="S159" s="1"/>
      <c r="T159" s="1"/>
      <c r="U159" s="1"/>
      <c r="V159" s="1"/>
      <c r="W159" s="6"/>
      <c r="X159" s="7"/>
      <c r="Y159" s="1"/>
      <c r="Z159" s="1"/>
    </row>
    <row r="160" spans="3:26" ht="23.25" x14ac:dyDescent="0.25">
      <c r="C160" s="67"/>
      <c r="D160" s="1"/>
      <c r="E160" s="1"/>
      <c r="F160" s="1"/>
      <c r="G160" s="1"/>
      <c r="H160" s="1"/>
      <c r="I160" s="6"/>
      <c r="J160" s="7"/>
      <c r="K160" s="1"/>
      <c r="L160" s="1"/>
      <c r="M160" s="1"/>
      <c r="N160" s="1"/>
      <c r="O160" s="1"/>
      <c r="P160" s="7"/>
      <c r="Q160" s="1"/>
      <c r="R160" s="7"/>
      <c r="S160" s="1"/>
      <c r="T160" s="1"/>
      <c r="U160" s="1"/>
      <c r="V160" s="1"/>
      <c r="W160" s="6"/>
      <c r="X160" s="7"/>
      <c r="Y160" s="1"/>
      <c r="Z160" s="1"/>
    </row>
    <row r="161" spans="3:26" ht="23.25" x14ac:dyDescent="0.25">
      <c r="C161" s="67"/>
      <c r="D161" s="1"/>
      <c r="E161" s="2"/>
      <c r="F161" s="2"/>
      <c r="G161" s="2"/>
      <c r="H161" s="2"/>
      <c r="I161" s="3"/>
      <c r="J161" s="4"/>
      <c r="K161" s="2"/>
      <c r="L161" s="2"/>
      <c r="M161" s="5"/>
      <c r="N161" s="5"/>
      <c r="O161" s="5"/>
      <c r="P161" s="4"/>
      <c r="Q161" s="2"/>
      <c r="R161" s="4"/>
      <c r="S161" s="2"/>
      <c r="T161" s="2"/>
      <c r="U161" s="2"/>
      <c r="V161" s="2"/>
      <c r="W161" s="3"/>
      <c r="X161" s="4"/>
      <c r="Y161" s="5"/>
      <c r="Z161" s="5"/>
    </row>
    <row r="162" spans="3:26" ht="23.25" x14ac:dyDescent="0.25">
      <c r="C162" s="67"/>
      <c r="D162" s="1"/>
      <c r="E162" s="1"/>
      <c r="F162" s="1"/>
      <c r="G162" s="1"/>
      <c r="H162" s="1"/>
      <c r="I162" s="6"/>
      <c r="J162" s="7"/>
      <c r="K162" s="1"/>
      <c r="L162" s="1"/>
      <c r="M162" s="1"/>
      <c r="P162" s="7"/>
      <c r="Q162" s="1"/>
      <c r="R162" s="7"/>
      <c r="S162" s="1"/>
      <c r="T162" s="1"/>
      <c r="U162" s="1"/>
      <c r="V162" s="1"/>
      <c r="W162" s="6"/>
      <c r="X162" s="7"/>
      <c r="Y162" s="1"/>
      <c r="Z162" s="1"/>
    </row>
    <row r="163" spans="3:26" ht="23.25" x14ac:dyDescent="0.25">
      <c r="C163" s="67"/>
      <c r="D163" s="1"/>
      <c r="E163" s="8" t="s">
        <v>157</v>
      </c>
      <c r="F163" s="9"/>
      <c r="G163" s="9"/>
      <c r="H163" s="9"/>
      <c r="I163" s="10"/>
      <c r="J163" s="11" t="s">
        <v>0</v>
      </c>
      <c r="K163" s="8"/>
      <c r="L163" s="9"/>
      <c r="M163" s="12"/>
      <c r="P163" s="13"/>
      <c r="Q163" s="14"/>
      <c r="R163" s="15"/>
      <c r="S163" s="14"/>
      <c r="T163" s="8" t="s">
        <v>157</v>
      </c>
      <c r="U163" s="9"/>
      <c r="V163" s="9"/>
      <c r="W163" s="16"/>
      <c r="X163" s="11" t="s">
        <v>1</v>
      </c>
      <c r="Y163" s="8"/>
      <c r="Z163" s="14"/>
    </row>
    <row r="164" spans="3:26" ht="24" thickBot="1" x14ac:dyDescent="0.3">
      <c r="C164" s="67"/>
      <c r="D164" s="1"/>
      <c r="E164" s="14"/>
      <c r="F164" s="14"/>
      <c r="G164" s="14"/>
      <c r="H164" s="14"/>
      <c r="I164" s="10"/>
      <c r="J164" s="17" t="s">
        <v>2</v>
      </c>
      <c r="K164" s="14" t="s">
        <v>2</v>
      </c>
      <c r="L164" s="14"/>
      <c r="M164" s="12"/>
      <c r="P164" s="13"/>
      <c r="Q164" s="14"/>
      <c r="R164" s="17"/>
      <c r="S164" s="14"/>
      <c r="T164" s="12"/>
      <c r="U164" s="12"/>
      <c r="V164" s="12"/>
      <c r="W164" s="18"/>
      <c r="X164" s="17"/>
      <c r="Y164" s="14"/>
      <c r="Z164" s="14"/>
    </row>
    <row r="165" spans="3:26" ht="24" thickBot="1" x14ac:dyDescent="0.3">
      <c r="C165" s="67"/>
      <c r="D165" s="1"/>
      <c r="E165" s="19" t="s">
        <v>3</v>
      </c>
      <c r="F165" s="19"/>
      <c r="G165" s="19"/>
      <c r="H165" s="20">
        <f>M151</f>
        <v>15852</v>
      </c>
      <c r="I165" s="10"/>
      <c r="J165" s="21" t="s">
        <v>4</v>
      </c>
      <c r="K165" s="19"/>
      <c r="L165" s="22">
        <f>H165-I174</f>
        <v>15832</v>
      </c>
      <c r="M165" s="1"/>
      <c r="N165" s="1"/>
      <c r="O165" s="1"/>
      <c r="P165" s="7"/>
      <c r="Q165" s="1"/>
      <c r="R165" s="7"/>
      <c r="S165" s="1"/>
      <c r="T165" s="24" t="s">
        <v>5</v>
      </c>
      <c r="U165" s="25"/>
      <c r="V165" s="26">
        <v>12916</v>
      </c>
      <c r="W165" s="27">
        <f>W157</f>
        <v>87</v>
      </c>
      <c r="X165" s="17" t="s">
        <v>2</v>
      </c>
      <c r="Y165" s="14"/>
      <c r="Z165" s="14"/>
    </row>
    <row r="166" spans="3:26" ht="23.25" x14ac:dyDescent="0.25">
      <c r="C166" s="67"/>
      <c r="D166" s="1"/>
      <c r="E166" s="1"/>
      <c r="F166" s="1"/>
      <c r="G166" s="1"/>
      <c r="H166" s="1"/>
      <c r="I166" s="6"/>
      <c r="J166" s="7"/>
      <c r="K166" s="1"/>
      <c r="L166" s="1"/>
      <c r="M166" s="1"/>
      <c r="N166" s="1"/>
      <c r="O166" s="1"/>
      <c r="P166" s="7"/>
      <c r="Q166" s="1"/>
      <c r="R166" s="7"/>
      <c r="S166" s="1"/>
      <c r="T166" s="24" t="s">
        <v>6</v>
      </c>
      <c r="U166" s="25"/>
      <c r="V166" s="26">
        <v>12930</v>
      </c>
      <c r="W166" s="27">
        <f>P151</f>
        <v>1123.08</v>
      </c>
      <c r="X166" s="17"/>
      <c r="Y166" s="14"/>
      <c r="Z166" s="14"/>
    </row>
    <row r="167" spans="3:26" ht="23.25" x14ac:dyDescent="0.25">
      <c r="C167" s="67"/>
      <c r="D167" s="1"/>
      <c r="E167" s="1"/>
      <c r="F167" s="1"/>
      <c r="G167" s="1"/>
      <c r="H167" s="1"/>
      <c r="I167" s="6"/>
      <c r="J167" s="7"/>
      <c r="K167" s="1"/>
      <c r="L167" s="1"/>
      <c r="M167" s="1"/>
      <c r="N167" s="1"/>
      <c r="O167" s="1"/>
      <c r="P167" s="7"/>
      <c r="Q167" s="1"/>
      <c r="R167" s="7"/>
      <c r="S167" s="1"/>
      <c r="T167" s="14"/>
      <c r="U167" s="14"/>
      <c r="V167" s="14"/>
      <c r="W167" s="28">
        <f>W166+W165</f>
        <v>1210.08</v>
      </c>
      <c r="X167" s="29" t="s">
        <v>59</v>
      </c>
      <c r="Y167" s="14"/>
      <c r="Z167" s="14"/>
    </row>
    <row r="168" spans="3:26" ht="23.25" x14ac:dyDescent="0.25">
      <c r="C168" s="67"/>
      <c r="D168" s="1"/>
      <c r="E168" s="30" t="s">
        <v>7</v>
      </c>
      <c r="F168" s="30" t="s">
        <v>8</v>
      </c>
      <c r="G168" s="30" t="s">
        <v>9</v>
      </c>
      <c r="H168" s="30" t="s">
        <v>10</v>
      </c>
      <c r="I168" s="31" t="s">
        <v>11</v>
      </c>
      <c r="J168" s="32" t="s">
        <v>12</v>
      </c>
      <c r="K168" s="30" t="s">
        <v>13</v>
      </c>
      <c r="L168" s="30" t="s">
        <v>14</v>
      </c>
      <c r="M168" s="30" t="s">
        <v>15</v>
      </c>
      <c r="N168" s="1"/>
      <c r="O168" s="1"/>
      <c r="P168" s="33" t="s">
        <v>16</v>
      </c>
      <c r="Q168" s="12"/>
      <c r="R168" s="33" t="s">
        <v>17</v>
      </c>
      <c r="S168" s="1"/>
      <c r="T168" s="1"/>
      <c r="U168" s="1"/>
      <c r="V168" s="1"/>
      <c r="W168" s="34">
        <v>1200</v>
      </c>
      <c r="X168" s="35" t="s">
        <v>18</v>
      </c>
      <c r="Y168" s="1"/>
      <c r="Z168" s="1"/>
    </row>
    <row r="169" spans="3:26" ht="23.25" x14ac:dyDescent="0.25">
      <c r="C169" s="67"/>
      <c r="D169" s="1"/>
      <c r="E169" s="36">
        <v>0.28472222222222221</v>
      </c>
      <c r="F169" s="37">
        <v>12931</v>
      </c>
      <c r="G169" s="37" t="s">
        <v>61</v>
      </c>
      <c r="H169" s="37" t="s">
        <v>72</v>
      </c>
      <c r="I169" s="38">
        <v>100</v>
      </c>
      <c r="J169" s="39">
        <v>42517</v>
      </c>
      <c r="K169" s="38">
        <v>2467414</v>
      </c>
      <c r="L169" s="38">
        <f>K169+I169</f>
        <v>2467514</v>
      </c>
      <c r="M169" s="40">
        <f>H165-I169</f>
        <v>15752</v>
      </c>
      <c r="N169" s="1"/>
      <c r="O169" s="1"/>
      <c r="P169" s="42">
        <f>I169*(100%-2%)</f>
        <v>98</v>
      </c>
      <c r="Q169" s="18"/>
      <c r="R169" s="42">
        <f>R151-P169</f>
        <v>15844.759999999997</v>
      </c>
      <c r="S169" s="1"/>
      <c r="T169" s="44" t="s">
        <v>23</v>
      </c>
      <c r="U169" s="44" t="s">
        <v>24</v>
      </c>
      <c r="V169" s="44" t="s">
        <v>25</v>
      </c>
      <c r="W169" s="45" t="s">
        <v>26</v>
      </c>
      <c r="X169" s="46" t="s">
        <v>12</v>
      </c>
      <c r="Y169" s="44" t="s">
        <v>27</v>
      </c>
      <c r="Z169" s="44" t="s">
        <v>28</v>
      </c>
    </row>
    <row r="170" spans="3:26" ht="23.25" x14ac:dyDescent="0.25">
      <c r="C170" s="67"/>
      <c r="D170" s="1"/>
      <c r="E170" s="36">
        <v>0.45624999999999999</v>
      </c>
      <c r="F170" s="37">
        <v>12932</v>
      </c>
      <c r="G170" s="37" t="s">
        <v>19</v>
      </c>
      <c r="H170" s="37" t="s">
        <v>158</v>
      </c>
      <c r="I170" s="38">
        <v>60</v>
      </c>
      <c r="J170" s="39"/>
      <c r="K170" s="38">
        <v>2467514</v>
      </c>
      <c r="L170" s="38">
        <f>K170+I170</f>
        <v>2467574</v>
      </c>
      <c r="M170" s="40">
        <f>M169-I170</f>
        <v>15692</v>
      </c>
      <c r="N170" s="41" t="s">
        <v>21</v>
      </c>
      <c r="O170" s="41" t="s">
        <v>22</v>
      </c>
      <c r="P170" s="42">
        <f>I170*(100%-2%)</f>
        <v>58.8</v>
      </c>
      <c r="Q170" s="18"/>
      <c r="R170" s="42">
        <f>R169-P170</f>
        <v>15785.959999999997</v>
      </c>
      <c r="S170" s="1"/>
      <c r="T170" s="53">
        <v>0.24305555555555555</v>
      </c>
      <c r="U170" s="54">
        <v>12773</v>
      </c>
      <c r="V170" s="54" t="s">
        <v>103</v>
      </c>
      <c r="W170" s="55">
        <v>100</v>
      </c>
      <c r="X170" s="56">
        <v>1022592</v>
      </c>
      <c r="Y170" s="54" t="s">
        <v>159</v>
      </c>
      <c r="Z170" s="54" t="s">
        <v>160</v>
      </c>
    </row>
    <row r="171" spans="3:26" ht="23.25" x14ac:dyDescent="0.25">
      <c r="C171" s="67"/>
      <c r="D171" s="1"/>
      <c r="E171" s="47"/>
      <c r="F171" s="48">
        <v>12933</v>
      </c>
      <c r="G171" s="48" t="s">
        <v>161</v>
      </c>
      <c r="H171" s="48" t="s">
        <v>162</v>
      </c>
      <c r="I171" s="49">
        <v>1003</v>
      </c>
      <c r="J171" s="50">
        <v>870893</v>
      </c>
      <c r="K171" s="49">
        <v>2467574</v>
      </c>
      <c r="L171" s="227">
        <f t="shared" ref="L171:L184" si="11">K171+I171</f>
        <v>2468577</v>
      </c>
      <c r="M171" s="228">
        <f t="shared" ref="M171:M184" si="12">M170-I171</f>
        <v>14689</v>
      </c>
      <c r="N171" s="52">
        <f>J171-J151</f>
        <v>964</v>
      </c>
      <c r="O171" s="52">
        <f>W183</f>
        <v>964</v>
      </c>
      <c r="P171" s="227">
        <f>I171*(100%-2%)</f>
        <v>982.93999999999994</v>
      </c>
      <c r="Q171" s="18"/>
      <c r="R171" s="42">
        <f t="shared" ref="R171:R184" si="13">R170-P171</f>
        <v>14803.019999999997</v>
      </c>
      <c r="S171" s="1"/>
      <c r="T171" s="53">
        <v>0.24861111111111112</v>
      </c>
      <c r="U171" s="54">
        <v>12774</v>
      </c>
      <c r="V171" s="54" t="s">
        <v>51</v>
      </c>
      <c r="W171" s="55">
        <v>100</v>
      </c>
      <c r="X171" s="56">
        <v>125157</v>
      </c>
      <c r="Y171" s="54" t="s">
        <v>159</v>
      </c>
      <c r="Z171" s="54" t="s">
        <v>163</v>
      </c>
    </row>
    <row r="172" spans="3:26" ht="23.25" x14ac:dyDescent="0.25">
      <c r="C172" s="67"/>
      <c r="D172" s="1"/>
      <c r="E172" s="36">
        <v>0.67361111111111116</v>
      </c>
      <c r="F172" s="37">
        <v>12934</v>
      </c>
      <c r="G172" s="37" t="s">
        <v>50</v>
      </c>
      <c r="H172" s="37" t="s">
        <v>32</v>
      </c>
      <c r="I172" s="38">
        <v>1</v>
      </c>
      <c r="J172" s="39">
        <v>5713</v>
      </c>
      <c r="K172" s="38">
        <v>2468577</v>
      </c>
      <c r="L172" s="38">
        <f t="shared" si="11"/>
        <v>2468578</v>
      </c>
      <c r="M172" s="40">
        <f t="shared" si="12"/>
        <v>14688</v>
      </c>
      <c r="N172" s="1"/>
      <c r="O172" s="1"/>
      <c r="P172" s="42">
        <f>I172*(100%-2%)</f>
        <v>0.98</v>
      </c>
      <c r="Q172" s="18"/>
      <c r="R172" s="42">
        <f t="shared" si="13"/>
        <v>14802.039999999997</v>
      </c>
      <c r="S172" s="1"/>
      <c r="T172" s="53"/>
      <c r="U172" s="54">
        <v>12775</v>
      </c>
      <c r="V172" s="54" t="s">
        <v>48</v>
      </c>
      <c r="W172" s="55">
        <v>100</v>
      </c>
      <c r="X172" s="56">
        <v>115370</v>
      </c>
      <c r="Y172" s="54" t="s">
        <v>159</v>
      </c>
      <c r="Z172" s="54" t="s">
        <v>164</v>
      </c>
    </row>
    <row r="173" spans="3:26" ht="23.25" x14ac:dyDescent="0.25">
      <c r="C173" s="67"/>
      <c r="D173" s="1"/>
      <c r="E173" s="36">
        <v>0.67777777777777781</v>
      </c>
      <c r="F173" s="37">
        <v>12935</v>
      </c>
      <c r="G173" s="37" t="s">
        <v>19</v>
      </c>
      <c r="H173" s="37" t="s">
        <v>35</v>
      </c>
      <c r="I173" s="38">
        <v>100</v>
      </c>
      <c r="J173" s="39">
        <v>35337</v>
      </c>
      <c r="K173" s="38">
        <v>2468578</v>
      </c>
      <c r="L173" s="38">
        <f t="shared" si="11"/>
        <v>2468678</v>
      </c>
      <c r="M173" s="40">
        <f t="shared" si="12"/>
        <v>14588</v>
      </c>
      <c r="N173" s="1"/>
      <c r="O173" s="1"/>
      <c r="P173" s="42">
        <f>I173*(100%-2%)</f>
        <v>98</v>
      </c>
      <c r="Q173" s="18"/>
      <c r="R173" s="42">
        <f t="shared" si="13"/>
        <v>14704.039999999997</v>
      </c>
      <c r="S173" s="1"/>
      <c r="T173" s="53">
        <v>0.26597222222222222</v>
      </c>
      <c r="U173" s="54">
        <v>12776</v>
      </c>
      <c r="V173" s="54" t="s">
        <v>57</v>
      </c>
      <c r="W173" s="55">
        <v>100</v>
      </c>
      <c r="X173" s="56">
        <v>432021</v>
      </c>
      <c r="Y173" s="54" t="s">
        <v>159</v>
      </c>
      <c r="Z173" s="54" t="s">
        <v>165</v>
      </c>
    </row>
    <row r="174" spans="3:26" ht="23.25" x14ac:dyDescent="0.25">
      <c r="C174" s="67"/>
      <c r="D174" s="1"/>
      <c r="E174" s="36">
        <v>0.68402777777777779</v>
      </c>
      <c r="F174" s="37">
        <v>12936</v>
      </c>
      <c r="G174" s="37" t="s">
        <v>19</v>
      </c>
      <c r="H174" s="37" t="s">
        <v>43</v>
      </c>
      <c r="I174" s="38">
        <v>20</v>
      </c>
      <c r="J174" s="39">
        <v>441471</v>
      </c>
      <c r="K174" s="38">
        <v>2468678</v>
      </c>
      <c r="L174" s="38">
        <f t="shared" si="11"/>
        <v>2468698</v>
      </c>
      <c r="M174" s="40">
        <f t="shared" si="12"/>
        <v>14568</v>
      </c>
      <c r="N174" s="1"/>
      <c r="O174" s="1"/>
      <c r="P174" s="42">
        <f>I174*(100%-2%)</f>
        <v>19.600000000000001</v>
      </c>
      <c r="Q174" s="18"/>
      <c r="R174" s="42">
        <f t="shared" si="13"/>
        <v>14684.439999999997</v>
      </c>
      <c r="S174" s="1"/>
      <c r="T174" s="53">
        <v>0.26805555555555555</v>
      </c>
      <c r="U174" s="54">
        <v>12777</v>
      </c>
      <c r="V174" s="54" t="s">
        <v>55</v>
      </c>
      <c r="W174" s="55">
        <v>30</v>
      </c>
      <c r="X174" s="56">
        <v>7800009</v>
      </c>
      <c r="Y174" s="54" t="s">
        <v>159</v>
      </c>
      <c r="Z174" s="54" t="s">
        <v>130</v>
      </c>
    </row>
    <row r="175" spans="3:26" ht="23.25" x14ac:dyDescent="0.25">
      <c r="C175" s="67"/>
      <c r="D175" s="1"/>
      <c r="E175" s="36">
        <v>0.69236111111111109</v>
      </c>
      <c r="F175" s="37">
        <v>12937</v>
      </c>
      <c r="G175" s="37" t="s">
        <v>19</v>
      </c>
      <c r="H175" s="37" t="s">
        <v>56</v>
      </c>
      <c r="I175" s="38">
        <v>100</v>
      </c>
      <c r="J175" s="39">
        <v>53969</v>
      </c>
      <c r="K175" s="38">
        <v>2468699</v>
      </c>
      <c r="L175" s="38">
        <f t="shared" si="11"/>
        <v>2468799</v>
      </c>
      <c r="M175" s="40">
        <f t="shared" si="12"/>
        <v>14468</v>
      </c>
      <c r="N175" s="1"/>
      <c r="O175" s="1"/>
      <c r="P175" s="42">
        <f>I175*(100%-2%)</f>
        <v>98</v>
      </c>
      <c r="Q175" s="18"/>
      <c r="R175" s="42">
        <f t="shared" si="13"/>
        <v>14586.439999999997</v>
      </c>
      <c r="S175" s="1"/>
      <c r="T175" s="53">
        <v>0.27916666666666667</v>
      </c>
      <c r="U175" s="54">
        <v>12778</v>
      </c>
      <c r="V175" s="54" t="s">
        <v>38</v>
      </c>
      <c r="W175" s="55">
        <v>100</v>
      </c>
      <c r="X175" s="56">
        <v>13953</v>
      </c>
      <c r="Y175" s="54" t="s">
        <v>159</v>
      </c>
      <c r="Z175" s="54" t="s">
        <v>73</v>
      </c>
    </row>
    <row r="176" spans="3:26" ht="23.25" x14ac:dyDescent="0.25">
      <c r="C176" s="67"/>
      <c r="D176" s="1"/>
      <c r="E176" s="36">
        <v>0.69444444444444442</v>
      </c>
      <c r="F176" s="37">
        <v>12938</v>
      </c>
      <c r="G176" s="37" t="s">
        <v>19</v>
      </c>
      <c r="H176" s="37" t="s">
        <v>53</v>
      </c>
      <c r="I176" s="38">
        <v>30</v>
      </c>
      <c r="J176" s="39">
        <v>36536</v>
      </c>
      <c r="K176" s="38">
        <v>2468799</v>
      </c>
      <c r="L176" s="38">
        <f t="shared" si="11"/>
        <v>2468829</v>
      </c>
      <c r="M176" s="40">
        <f t="shared" si="12"/>
        <v>14438</v>
      </c>
      <c r="N176" s="1"/>
      <c r="O176" s="1"/>
      <c r="P176" s="42">
        <f>I176*(100%-2%)</f>
        <v>29.4</v>
      </c>
      <c r="Q176" s="18"/>
      <c r="R176" s="42">
        <f t="shared" si="13"/>
        <v>14557.039999999997</v>
      </c>
      <c r="S176" s="1"/>
      <c r="T176" s="53">
        <v>0.46041666666666664</v>
      </c>
      <c r="U176" s="54">
        <v>12779</v>
      </c>
      <c r="V176" s="54" t="s">
        <v>86</v>
      </c>
      <c r="W176" s="55">
        <v>53</v>
      </c>
      <c r="X176" s="56">
        <v>1329</v>
      </c>
      <c r="Y176" s="54" t="s">
        <v>66</v>
      </c>
      <c r="Z176" s="54" t="s">
        <v>46</v>
      </c>
    </row>
    <row r="177" spans="3:26" ht="23.25" x14ac:dyDescent="0.25">
      <c r="C177" s="67"/>
      <c r="D177" s="1"/>
      <c r="E177" s="36">
        <v>0.70416666666666672</v>
      </c>
      <c r="F177" s="37">
        <v>12939</v>
      </c>
      <c r="G177" s="37" t="s">
        <v>19</v>
      </c>
      <c r="H177" s="37" t="s">
        <v>44</v>
      </c>
      <c r="I177" s="38">
        <v>2</v>
      </c>
      <c r="J177" s="39">
        <v>477518</v>
      </c>
      <c r="K177" s="38">
        <v>2468829</v>
      </c>
      <c r="L177" s="38">
        <f t="shared" si="11"/>
        <v>2468831</v>
      </c>
      <c r="M177" s="40">
        <f t="shared" si="12"/>
        <v>14436</v>
      </c>
      <c r="N177" s="1"/>
      <c r="O177" s="1"/>
      <c r="P177" s="42">
        <f>I177*(100%-2%)</f>
        <v>1.96</v>
      </c>
      <c r="Q177" s="18"/>
      <c r="R177" s="42">
        <f t="shared" si="13"/>
        <v>14555.079999999998</v>
      </c>
      <c r="S177" s="1"/>
      <c r="T177" s="53">
        <v>0.46041666666666664</v>
      </c>
      <c r="U177" s="54">
        <v>12780</v>
      </c>
      <c r="V177" s="54" t="s">
        <v>166</v>
      </c>
      <c r="W177" s="55">
        <v>13</v>
      </c>
      <c r="X177" s="56">
        <v>1021</v>
      </c>
      <c r="Y177" s="54" t="s">
        <v>66</v>
      </c>
      <c r="Z177" s="54"/>
    </row>
    <row r="178" spans="3:26" ht="23.25" x14ac:dyDescent="0.25">
      <c r="C178" s="67"/>
      <c r="D178" s="1"/>
      <c r="E178" s="36">
        <v>0.71527777777777779</v>
      </c>
      <c r="F178" s="37">
        <v>12940</v>
      </c>
      <c r="G178" s="37" t="s">
        <v>19</v>
      </c>
      <c r="H178" s="37" t="s">
        <v>55</v>
      </c>
      <c r="I178" s="38">
        <v>15</v>
      </c>
      <c r="J178" s="39">
        <v>780177</v>
      </c>
      <c r="K178" s="38">
        <v>2468834</v>
      </c>
      <c r="L178" s="38">
        <f t="shared" si="11"/>
        <v>2468849</v>
      </c>
      <c r="M178" s="40">
        <f t="shared" si="12"/>
        <v>14421</v>
      </c>
      <c r="N178" s="1"/>
      <c r="O178" s="1"/>
      <c r="P178" s="42">
        <f>I178*(100%-2%)</f>
        <v>14.7</v>
      </c>
      <c r="Q178" s="18"/>
      <c r="R178" s="42">
        <f t="shared" si="13"/>
        <v>14540.379999999997</v>
      </c>
      <c r="S178" s="1"/>
      <c r="T178" s="53">
        <v>0.47499999999999998</v>
      </c>
      <c r="U178" s="54">
        <v>12781</v>
      </c>
      <c r="V178" s="54" t="s">
        <v>167</v>
      </c>
      <c r="W178" s="55">
        <v>29</v>
      </c>
      <c r="X178" s="56"/>
      <c r="Y178" s="54" t="s">
        <v>66</v>
      </c>
      <c r="Z178" s="54" t="s">
        <v>168</v>
      </c>
    </row>
    <row r="179" spans="3:26" ht="23.25" x14ac:dyDescent="0.25">
      <c r="C179" s="67"/>
      <c r="D179" s="1"/>
      <c r="E179" s="36">
        <v>0.72222222222222221</v>
      </c>
      <c r="F179" s="37">
        <v>12941</v>
      </c>
      <c r="G179" s="37" t="s">
        <v>19</v>
      </c>
      <c r="H179" s="37" t="s">
        <v>39</v>
      </c>
      <c r="I179" s="38">
        <v>1</v>
      </c>
      <c r="J179" s="39">
        <v>24050</v>
      </c>
      <c r="K179" s="38">
        <v>2468850</v>
      </c>
      <c r="L179" s="38">
        <f t="shared" si="11"/>
        <v>2468851</v>
      </c>
      <c r="M179" s="40">
        <f t="shared" si="12"/>
        <v>14420</v>
      </c>
      <c r="N179" s="1"/>
      <c r="O179" s="1"/>
      <c r="P179" s="42">
        <f>I179*(100%-2%)</f>
        <v>0.98</v>
      </c>
      <c r="Q179" s="18"/>
      <c r="R179" s="42">
        <f t="shared" si="13"/>
        <v>14539.399999999998</v>
      </c>
      <c r="S179" s="1"/>
      <c r="T179" s="53">
        <v>0.47638888888888886</v>
      </c>
      <c r="U179" s="54">
        <v>12782</v>
      </c>
      <c r="V179" s="54" t="s">
        <v>68</v>
      </c>
      <c r="W179" s="55">
        <v>116</v>
      </c>
      <c r="X179" s="56">
        <v>7172</v>
      </c>
      <c r="Y179" s="54" t="s">
        <v>66</v>
      </c>
      <c r="Z179" s="54" t="s">
        <v>168</v>
      </c>
    </row>
    <row r="180" spans="3:26" ht="23.25" x14ac:dyDescent="0.25">
      <c r="C180" s="67"/>
      <c r="D180" s="1"/>
      <c r="E180" s="36">
        <v>0.73124999999999996</v>
      </c>
      <c r="F180" s="37">
        <v>12942</v>
      </c>
      <c r="G180" s="37" t="s">
        <v>19</v>
      </c>
      <c r="H180" s="37" t="s">
        <v>40</v>
      </c>
      <c r="I180" s="38">
        <v>5</v>
      </c>
      <c r="J180" s="39">
        <v>9116</v>
      </c>
      <c r="K180" s="38">
        <v>2468851</v>
      </c>
      <c r="L180" s="38">
        <f t="shared" si="11"/>
        <v>2468856</v>
      </c>
      <c r="M180" s="40">
        <f t="shared" si="12"/>
        <v>14415</v>
      </c>
      <c r="N180" s="1"/>
      <c r="O180" s="1"/>
      <c r="P180" s="42">
        <f>I180*(100%-2%)</f>
        <v>4.9000000000000004</v>
      </c>
      <c r="Q180" s="18"/>
      <c r="R180" s="42">
        <f t="shared" si="13"/>
        <v>14534.499999999998</v>
      </c>
      <c r="S180" s="1"/>
      <c r="T180" s="53">
        <v>0.48472222222222222</v>
      </c>
      <c r="U180" s="54">
        <v>12783</v>
      </c>
      <c r="V180" s="54" t="s">
        <v>169</v>
      </c>
      <c r="W180" s="55">
        <v>41</v>
      </c>
      <c r="X180" s="56">
        <v>2688</v>
      </c>
      <c r="Y180" s="54" t="s">
        <v>66</v>
      </c>
      <c r="Z180" s="54"/>
    </row>
    <row r="181" spans="3:26" ht="23.25" x14ac:dyDescent="0.25">
      <c r="C181" s="67"/>
      <c r="D181" s="1"/>
      <c r="E181" s="36">
        <v>0.73611111111111116</v>
      </c>
      <c r="F181" s="37">
        <v>12943</v>
      </c>
      <c r="G181" s="37" t="s">
        <v>19</v>
      </c>
      <c r="H181" s="37" t="s">
        <v>54</v>
      </c>
      <c r="I181" s="38">
        <v>1</v>
      </c>
      <c r="J181" s="39">
        <v>469495</v>
      </c>
      <c r="K181" s="38">
        <v>2468856</v>
      </c>
      <c r="L181" s="38">
        <f t="shared" si="11"/>
        <v>2468857</v>
      </c>
      <c r="M181" s="40">
        <f t="shared" si="12"/>
        <v>14414</v>
      </c>
      <c r="N181" s="1"/>
      <c r="O181" s="1"/>
      <c r="P181" s="42">
        <f>I181*(100%-2%)</f>
        <v>0.98</v>
      </c>
      <c r="Q181" s="18"/>
      <c r="R181" s="42">
        <f t="shared" si="13"/>
        <v>14533.519999999999</v>
      </c>
      <c r="S181" s="1"/>
      <c r="T181" s="53">
        <v>0.50416666666666665</v>
      </c>
      <c r="U181" s="54">
        <v>12784</v>
      </c>
      <c r="V181" s="54" t="s">
        <v>65</v>
      </c>
      <c r="W181" s="55">
        <v>86</v>
      </c>
      <c r="X181" s="56">
        <v>5049</v>
      </c>
      <c r="Y181" s="54" t="s">
        <v>66</v>
      </c>
      <c r="Z181" s="54" t="s">
        <v>67</v>
      </c>
    </row>
    <row r="182" spans="3:26" ht="23.25" x14ac:dyDescent="0.25">
      <c r="C182" s="67"/>
      <c r="D182" s="1"/>
      <c r="E182" s="36">
        <v>0.73958333333333337</v>
      </c>
      <c r="F182" s="37">
        <v>12944</v>
      </c>
      <c r="G182" s="37" t="s">
        <v>19</v>
      </c>
      <c r="H182" s="37" t="s">
        <v>57</v>
      </c>
      <c r="I182" s="38">
        <v>100</v>
      </c>
      <c r="J182" s="39">
        <v>432246</v>
      </c>
      <c r="K182" s="38">
        <v>2468858</v>
      </c>
      <c r="L182" s="38">
        <f t="shared" si="11"/>
        <v>2468958</v>
      </c>
      <c r="M182" s="40">
        <f t="shared" si="12"/>
        <v>14314</v>
      </c>
      <c r="N182" s="1"/>
      <c r="O182" s="1"/>
      <c r="P182" s="42">
        <f>I182*(100%-2%)</f>
        <v>98</v>
      </c>
      <c r="Q182" s="18"/>
      <c r="R182" s="42">
        <f t="shared" si="13"/>
        <v>14435.519999999999</v>
      </c>
      <c r="S182" s="1"/>
      <c r="T182" s="53">
        <v>0.60763888888888884</v>
      </c>
      <c r="U182" s="54">
        <v>12785</v>
      </c>
      <c r="V182" s="54" t="s">
        <v>89</v>
      </c>
      <c r="W182" s="55">
        <v>96</v>
      </c>
      <c r="X182" s="56">
        <v>1083</v>
      </c>
      <c r="Y182" s="54" t="s">
        <v>90</v>
      </c>
      <c r="Z182" s="54" t="s">
        <v>91</v>
      </c>
    </row>
    <row r="183" spans="3:26" ht="23.25" x14ac:dyDescent="0.25">
      <c r="C183" s="67"/>
      <c r="D183" s="1"/>
      <c r="E183" s="36">
        <v>0.74722222222222223</v>
      </c>
      <c r="F183" s="37">
        <v>12945</v>
      </c>
      <c r="G183" s="37" t="s">
        <v>19</v>
      </c>
      <c r="H183" s="37" t="s">
        <v>36</v>
      </c>
      <c r="I183" s="38">
        <v>5</v>
      </c>
      <c r="J183" s="39">
        <v>503381</v>
      </c>
      <c r="K183" s="38">
        <v>2468958</v>
      </c>
      <c r="L183" s="38">
        <f t="shared" si="11"/>
        <v>2468963</v>
      </c>
      <c r="M183" s="40">
        <f t="shared" si="12"/>
        <v>14309</v>
      </c>
      <c r="N183" s="1"/>
      <c r="O183" s="1"/>
      <c r="P183" s="42">
        <f>I183*(100%-2%)</f>
        <v>4.9000000000000004</v>
      </c>
      <c r="Q183" s="18"/>
      <c r="R183" s="42">
        <f t="shared" si="13"/>
        <v>14430.619999999999</v>
      </c>
      <c r="S183" s="1"/>
      <c r="T183" s="1"/>
      <c r="U183" s="1"/>
      <c r="V183" s="57" t="s">
        <v>49</v>
      </c>
      <c r="W183" s="58">
        <f>SUM(W170:W182)</f>
        <v>964</v>
      </c>
      <c r="X183" s="7"/>
      <c r="Y183" s="1"/>
      <c r="Z183" s="1"/>
    </row>
    <row r="184" spans="3:26" ht="23.25" x14ac:dyDescent="0.25">
      <c r="C184" s="67"/>
      <c r="D184" s="1"/>
      <c r="E184" s="36">
        <v>0.75347222222222221</v>
      </c>
      <c r="F184" s="37">
        <v>12946</v>
      </c>
      <c r="G184" s="37" t="s">
        <v>19</v>
      </c>
      <c r="H184" s="37" t="s">
        <v>41</v>
      </c>
      <c r="I184" s="38">
        <v>20</v>
      </c>
      <c r="J184" s="39">
        <v>31057</v>
      </c>
      <c r="K184" s="38">
        <v>2468963</v>
      </c>
      <c r="L184" s="38">
        <f t="shared" si="11"/>
        <v>2468983</v>
      </c>
      <c r="M184" s="40">
        <f t="shared" si="12"/>
        <v>14289</v>
      </c>
      <c r="N184" s="1"/>
      <c r="O184" s="1"/>
      <c r="P184" s="42">
        <f>I184*(100%-2%)</f>
        <v>19.600000000000001</v>
      </c>
      <c r="Q184" s="18"/>
      <c r="R184" s="42">
        <f t="shared" si="13"/>
        <v>14411.019999999999</v>
      </c>
      <c r="S184" s="1"/>
      <c r="T184" s="1"/>
      <c r="U184" s="1"/>
      <c r="V184" s="59" t="s">
        <v>52</v>
      </c>
      <c r="W184" s="60">
        <f>W168-W183</f>
        <v>236</v>
      </c>
      <c r="X184" s="7"/>
      <c r="Y184" s="1"/>
      <c r="Z184" s="1"/>
    </row>
    <row r="185" spans="3:26" ht="24" thickBot="1" x14ac:dyDescent="0.3">
      <c r="C185" s="67"/>
      <c r="D185" s="1"/>
      <c r="E185" s="1"/>
      <c r="F185" s="1"/>
      <c r="G185" s="1"/>
      <c r="H185" s="1"/>
      <c r="I185" s="6"/>
      <c r="J185" s="7"/>
      <c r="K185" s="1"/>
      <c r="L185" s="1"/>
      <c r="M185" s="1"/>
      <c r="N185" s="1"/>
      <c r="O185" s="1"/>
      <c r="P185" s="7"/>
      <c r="Q185" s="1"/>
      <c r="R185" s="7"/>
      <c r="S185" s="1"/>
      <c r="T185" s="1"/>
      <c r="U185" s="1"/>
      <c r="V185" s="1"/>
      <c r="W185" s="6"/>
      <c r="X185" s="7"/>
      <c r="Y185" s="1"/>
      <c r="Z185" s="1"/>
    </row>
    <row r="186" spans="3:26" ht="24" thickBot="1" x14ac:dyDescent="0.3">
      <c r="C186" s="67"/>
      <c r="D186" s="1"/>
      <c r="E186" s="1"/>
      <c r="F186" s="1"/>
      <c r="G186" s="61" t="s">
        <v>177</v>
      </c>
      <c r="H186" s="62"/>
      <c r="I186" s="63">
        <f>SUM(I169:I184)</f>
        <v>1563</v>
      </c>
      <c r="J186" s="7"/>
      <c r="K186" s="1"/>
      <c r="L186" s="1"/>
      <c r="M186" s="1"/>
      <c r="N186" s="1"/>
      <c r="O186" s="1"/>
      <c r="P186" s="7"/>
      <c r="Q186" s="1"/>
      <c r="R186" s="7"/>
      <c r="S186" s="1"/>
      <c r="T186" s="1"/>
      <c r="U186" s="1"/>
      <c r="V186" s="1"/>
      <c r="W186" s="6"/>
      <c r="X186" s="7"/>
      <c r="Y186" s="1"/>
      <c r="Z186" s="1"/>
    </row>
    <row r="187" spans="3:26" ht="23.25" x14ac:dyDescent="0.25">
      <c r="C187" s="67"/>
      <c r="D187" s="1"/>
      <c r="E187" s="1"/>
      <c r="F187" s="1"/>
      <c r="G187" s="1"/>
      <c r="H187" s="1"/>
      <c r="I187" s="6"/>
      <c r="J187" s="7"/>
      <c r="K187" s="1"/>
      <c r="L187" s="1"/>
      <c r="M187" s="1"/>
      <c r="N187" s="1"/>
      <c r="O187" s="1"/>
      <c r="P187" s="7"/>
      <c r="Q187" s="1"/>
      <c r="R187" s="7"/>
      <c r="S187" s="1"/>
      <c r="T187" s="1"/>
      <c r="U187" s="1"/>
      <c r="V187" s="1"/>
      <c r="W187" s="6"/>
      <c r="X187" s="7"/>
      <c r="Y187" s="1"/>
      <c r="Z187" s="1"/>
    </row>
    <row r="188" spans="3:26" ht="23.25" x14ac:dyDescent="0.25">
      <c r="C188" s="67"/>
      <c r="D188" s="1"/>
      <c r="E188" s="1"/>
      <c r="F188" s="1"/>
      <c r="G188" s="1"/>
      <c r="H188" s="1"/>
      <c r="I188" s="6"/>
      <c r="J188" s="7"/>
      <c r="K188" s="1"/>
      <c r="L188" s="1"/>
      <c r="M188" s="1"/>
      <c r="N188" s="1"/>
      <c r="O188" s="1"/>
      <c r="P188" s="7"/>
      <c r="Q188" s="1"/>
      <c r="R188" s="7"/>
      <c r="S188" s="1"/>
      <c r="T188" s="1"/>
      <c r="U188" s="1"/>
      <c r="V188" s="1"/>
      <c r="W188" s="6"/>
      <c r="X188" s="7"/>
      <c r="Y188" s="1"/>
      <c r="Z188" s="1"/>
    </row>
    <row r="189" spans="3:26" ht="23.25" x14ac:dyDescent="0.25">
      <c r="C189" s="67"/>
      <c r="D189" s="1"/>
      <c r="E189" s="1"/>
      <c r="F189" s="1"/>
      <c r="G189" s="1"/>
      <c r="H189" s="1"/>
      <c r="I189" s="6"/>
      <c r="J189" s="7"/>
      <c r="K189" s="1"/>
      <c r="L189" s="1"/>
      <c r="M189" s="1"/>
      <c r="N189" s="1"/>
      <c r="O189" s="1"/>
      <c r="P189" s="7"/>
      <c r="Q189" s="1"/>
      <c r="R189" s="7"/>
      <c r="S189" s="1"/>
      <c r="T189" s="1"/>
      <c r="U189" s="1"/>
      <c r="V189" s="1"/>
      <c r="W189" s="6"/>
      <c r="X189" s="7"/>
      <c r="Y189" s="1"/>
      <c r="Z189" s="1"/>
    </row>
    <row r="190" spans="3:26" ht="23.25" x14ac:dyDescent="0.25">
      <c r="C190" s="67"/>
      <c r="D190" s="1"/>
      <c r="E190" s="1"/>
      <c r="F190" s="1"/>
      <c r="G190" s="1"/>
      <c r="H190" s="1"/>
      <c r="I190" s="6"/>
      <c r="J190" s="7"/>
      <c r="K190" s="1"/>
      <c r="L190" s="1"/>
      <c r="M190" s="1"/>
      <c r="N190" s="1"/>
      <c r="O190" s="1"/>
      <c r="P190" s="7"/>
      <c r="Q190" s="1"/>
      <c r="R190" s="7"/>
      <c r="S190" s="1"/>
      <c r="T190" s="1"/>
      <c r="U190" s="1"/>
      <c r="V190" s="1"/>
      <c r="W190" s="6"/>
      <c r="X190" s="7"/>
      <c r="Y190" s="1"/>
      <c r="Z190" s="1"/>
    </row>
    <row r="191" spans="3:26" ht="23.25" x14ac:dyDescent="0.25">
      <c r="C191" s="67"/>
      <c r="D191" s="1"/>
      <c r="E191" s="1"/>
      <c r="F191" s="1"/>
      <c r="G191" s="1"/>
      <c r="H191" s="1"/>
      <c r="I191" s="6"/>
      <c r="J191" s="7"/>
      <c r="K191" s="1"/>
      <c r="L191" s="1"/>
      <c r="M191" s="1"/>
      <c r="N191" s="1"/>
      <c r="O191" s="1"/>
      <c r="P191" s="7"/>
      <c r="Q191" s="1"/>
      <c r="R191" s="7"/>
      <c r="S191" s="1"/>
      <c r="T191" s="1"/>
      <c r="U191" s="1"/>
      <c r="V191" s="1"/>
      <c r="W191" s="6"/>
      <c r="X191" s="7"/>
      <c r="Y191" s="1"/>
      <c r="Z19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CB26-29CB-4593-ACB8-6F412F1B822D}">
  <sheetPr>
    <tabColor theme="0" tint="-4.9989318521683403E-2"/>
  </sheetPr>
  <dimension ref="B1:P82"/>
  <sheetViews>
    <sheetView tabSelected="1" workbookViewId="0">
      <selection activeCell="L11" sqref="L11"/>
    </sheetView>
  </sheetViews>
  <sheetFormatPr baseColWidth="10" defaultRowHeight="15" x14ac:dyDescent="0.25"/>
  <cols>
    <col min="4" max="4" width="12.85546875" bestFit="1" customWidth="1"/>
    <col min="8" max="8" width="12.5703125" bestFit="1" customWidth="1"/>
    <col min="9" max="9" width="13" bestFit="1" customWidth="1"/>
    <col min="10" max="10" width="15.5703125" customWidth="1"/>
    <col min="11" max="11" width="12.85546875" bestFit="1" customWidth="1"/>
    <col min="12" max="12" width="14.5703125" customWidth="1"/>
    <col min="14" max="14" width="40.42578125" customWidth="1"/>
    <col min="15" max="15" width="12.85546875" customWidth="1"/>
    <col min="16" max="16" width="12" customWidth="1"/>
  </cols>
  <sheetData>
    <row r="1" spans="2:16" ht="16.5" thickBot="1" x14ac:dyDescent="0.3">
      <c r="C1" s="900" t="s">
        <v>8</v>
      </c>
      <c r="D1" s="900" t="s">
        <v>9</v>
      </c>
      <c r="E1" s="900" t="s">
        <v>10</v>
      </c>
      <c r="F1" s="901" t="s">
        <v>11</v>
      </c>
      <c r="G1" s="902" t="s">
        <v>12</v>
      </c>
      <c r="H1" s="900" t="s">
        <v>788</v>
      </c>
      <c r="I1" s="900" t="s">
        <v>789</v>
      </c>
      <c r="J1" s="900" t="s">
        <v>15</v>
      </c>
    </row>
    <row r="2" spans="2:16" ht="15.75" x14ac:dyDescent="0.25">
      <c r="B2" s="96">
        <v>46094</v>
      </c>
      <c r="C2" s="97">
        <v>12864</v>
      </c>
      <c r="D2" s="97" t="s">
        <v>50</v>
      </c>
      <c r="E2" s="97" t="s">
        <v>44</v>
      </c>
      <c r="F2" s="97">
        <v>30</v>
      </c>
      <c r="G2" s="97">
        <v>476574</v>
      </c>
      <c r="H2" s="98">
        <v>2459655</v>
      </c>
      <c r="I2" s="98">
        <v>2459685</v>
      </c>
      <c r="J2" s="99">
        <v>2535.5600000000013</v>
      </c>
      <c r="K2" s="100"/>
      <c r="L2" s="101"/>
      <c r="M2" s="101"/>
      <c r="N2" s="101"/>
      <c r="O2" s="101"/>
      <c r="P2" s="101"/>
    </row>
    <row r="3" spans="2:16" ht="15.75" x14ac:dyDescent="0.25">
      <c r="B3" s="102">
        <v>46094</v>
      </c>
      <c r="C3" s="103">
        <v>12865</v>
      </c>
      <c r="D3" s="103" t="s">
        <v>50</v>
      </c>
      <c r="E3" s="103" t="s">
        <v>72</v>
      </c>
      <c r="F3" s="103">
        <v>50</v>
      </c>
      <c r="G3" s="103">
        <v>41848</v>
      </c>
      <c r="H3" s="101">
        <v>2459685</v>
      </c>
      <c r="I3" s="101">
        <v>2459735</v>
      </c>
      <c r="J3" s="104">
        <v>2485.5600000000013</v>
      </c>
      <c r="K3" s="105"/>
      <c r="L3" s="101"/>
      <c r="M3" s="101"/>
      <c r="N3" s="106" t="s">
        <v>178</v>
      </c>
      <c r="O3" s="107"/>
      <c r="P3" s="101"/>
    </row>
    <row r="4" spans="2:16" ht="15.75" x14ac:dyDescent="0.25">
      <c r="B4" s="102">
        <v>46094</v>
      </c>
      <c r="C4" s="103">
        <v>12866</v>
      </c>
      <c r="D4" s="103" t="s">
        <v>92</v>
      </c>
      <c r="E4" s="103" t="s">
        <v>20</v>
      </c>
      <c r="F4" s="103">
        <v>50</v>
      </c>
      <c r="G4" s="103">
        <v>69220</v>
      </c>
      <c r="H4" s="101">
        <v>2459736</v>
      </c>
      <c r="I4" s="101">
        <v>2459786</v>
      </c>
      <c r="J4" s="104">
        <v>2435.5600000000013</v>
      </c>
      <c r="K4" s="105"/>
      <c r="L4" s="101"/>
      <c r="M4" s="101"/>
      <c r="N4" s="108" t="s">
        <v>179</v>
      </c>
      <c r="O4" s="109">
        <v>9687</v>
      </c>
      <c r="P4" s="101"/>
    </row>
    <row r="5" spans="2:16" ht="15.75" x14ac:dyDescent="0.25">
      <c r="B5" s="102">
        <v>46094</v>
      </c>
      <c r="C5" s="103">
        <v>12867</v>
      </c>
      <c r="D5" s="103" t="s">
        <v>50</v>
      </c>
      <c r="E5" s="103" t="s">
        <v>55</v>
      </c>
      <c r="F5" s="103">
        <v>38</v>
      </c>
      <c r="G5" s="103">
        <v>779059</v>
      </c>
      <c r="H5" s="101">
        <v>2459788</v>
      </c>
      <c r="I5" s="101">
        <v>2459826</v>
      </c>
      <c r="J5" s="104">
        <v>2397.5600000000013</v>
      </c>
      <c r="K5" s="105"/>
      <c r="L5" s="101"/>
      <c r="M5" s="101"/>
      <c r="N5" s="108" t="s">
        <v>180</v>
      </c>
      <c r="O5" s="109">
        <v>2531</v>
      </c>
      <c r="P5" s="101"/>
    </row>
    <row r="6" spans="2:16" ht="16.5" thickBot="1" x14ac:dyDescent="0.3">
      <c r="B6" s="102">
        <v>46094</v>
      </c>
      <c r="C6" s="103">
        <v>12868</v>
      </c>
      <c r="D6" s="103" t="s">
        <v>50</v>
      </c>
      <c r="E6" s="103" t="s">
        <v>33</v>
      </c>
      <c r="F6" s="103">
        <v>20</v>
      </c>
      <c r="G6" s="103">
        <v>54014</v>
      </c>
      <c r="H6" s="101">
        <v>2459825</v>
      </c>
      <c r="I6" s="101">
        <v>2459845</v>
      </c>
      <c r="J6" s="104">
        <v>2377.5600000000013</v>
      </c>
      <c r="K6" s="105"/>
      <c r="L6" s="101"/>
      <c r="M6" s="101"/>
      <c r="N6" s="110" t="s">
        <v>181</v>
      </c>
      <c r="O6" s="111">
        <f>SUM(O4:O5)</f>
        <v>12218</v>
      </c>
      <c r="P6" s="101"/>
    </row>
    <row r="7" spans="2:16" ht="15.75" x14ac:dyDescent="0.25">
      <c r="B7" s="102">
        <v>46094</v>
      </c>
      <c r="C7" s="103">
        <v>12869</v>
      </c>
      <c r="D7" s="103" t="s">
        <v>50</v>
      </c>
      <c r="E7" s="103" t="s">
        <v>32</v>
      </c>
      <c r="F7" s="103">
        <v>20</v>
      </c>
      <c r="G7" s="103">
        <v>4750</v>
      </c>
      <c r="H7" s="101">
        <v>2459845</v>
      </c>
      <c r="I7" s="101">
        <v>2459865</v>
      </c>
      <c r="J7" s="104">
        <v>2357.5600000000013</v>
      </c>
      <c r="K7" s="105"/>
      <c r="L7" s="101"/>
      <c r="M7" s="101"/>
      <c r="N7" s="101"/>
      <c r="O7" s="101"/>
    </row>
    <row r="8" spans="2:16" ht="15.75" x14ac:dyDescent="0.25">
      <c r="B8" s="102">
        <v>46094</v>
      </c>
      <c r="C8" s="103">
        <v>12873</v>
      </c>
      <c r="D8" s="103" t="s">
        <v>19</v>
      </c>
      <c r="E8" s="103" t="s">
        <v>57</v>
      </c>
      <c r="F8" s="103">
        <v>80</v>
      </c>
      <c r="G8" s="103">
        <v>431141</v>
      </c>
      <c r="H8" s="101">
        <v>2459865</v>
      </c>
      <c r="I8" s="101">
        <v>2459945</v>
      </c>
      <c r="J8" s="104">
        <v>2277.5600000000013</v>
      </c>
      <c r="K8" s="105"/>
      <c r="L8" s="101"/>
      <c r="M8" s="101"/>
    </row>
    <row r="9" spans="2:16" ht="15.75" x14ac:dyDescent="0.25">
      <c r="B9" s="102">
        <v>46094</v>
      </c>
      <c r="C9" s="103">
        <v>12874</v>
      </c>
      <c r="D9" s="103" t="s">
        <v>19</v>
      </c>
      <c r="E9" s="103" t="s">
        <v>53</v>
      </c>
      <c r="F9" s="103">
        <v>30</v>
      </c>
      <c r="G9" s="103">
        <v>35439</v>
      </c>
      <c r="H9" s="101">
        <v>2459945</v>
      </c>
      <c r="I9" s="101">
        <v>2459975</v>
      </c>
      <c r="J9" s="104">
        <v>2247.5600000000013</v>
      </c>
      <c r="K9" s="105" t="s">
        <v>182</v>
      </c>
      <c r="L9" s="101"/>
      <c r="M9" s="101"/>
    </row>
    <row r="10" spans="2:16" ht="15.75" x14ac:dyDescent="0.25">
      <c r="B10" s="102">
        <v>46094</v>
      </c>
      <c r="C10" s="103">
        <v>12875</v>
      </c>
      <c r="D10" s="103" t="s">
        <v>19</v>
      </c>
      <c r="E10" s="103" t="s">
        <v>54</v>
      </c>
      <c r="F10" s="103">
        <v>1</v>
      </c>
      <c r="G10" s="103">
        <v>468296</v>
      </c>
      <c r="H10" s="101">
        <v>2459975</v>
      </c>
      <c r="I10" s="101">
        <v>2459976</v>
      </c>
      <c r="J10" s="104">
        <v>2246.5600000000013</v>
      </c>
      <c r="K10" s="105"/>
      <c r="L10" s="101"/>
      <c r="M10" s="101"/>
    </row>
    <row r="11" spans="2:16" ht="15.75" x14ac:dyDescent="0.25">
      <c r="B11" s="102">
        <v>46094</v>
      </c>
      <c r="C11" s="103">
        <v>12876</v>
      </c>
      <c r="D11" s="103" t="s">
        <v>19</v>
      </c>
      <c r="E11" s="103" t="s">
        <v>43</v>
      </c>
      <c r="F11" s="103">
        <v>20</v>
      </c>
      <c r="G11" s="103">
        <v>440332</v>
      </c>
      <c r="H11" s="101">
        <v>2459976</v>
      </c>
      <c r="I11" s="101">
        <v>2459996</v>
      </c>
      <c r="J11" s="104">
        <v>2226.5600000000013</v>
      </c>
      <c r="K11" s="105"/>
      <c r="L11" s="101"/>
      <c r="M11" s="101"/>
      <c r="P11" s="101"/>
    </row>
    <row r="12" spans="2:16" ht="16.5" thickBot="1" x14ac:dyDescent="0.3">
      <c r="B12" s="102">
        <v>46094</v>
      </c>
      <c r="C12" s="103">
        <v>12877</v>
      </c>
      <c r="D12" s="103" t="s">
        <v>19</v>
      </c>
      <c r="E12" s="103" t="s">
        <v>36</v>
      </c>
      <c r="F12" s="103">
        <v>1</v>
      </c>
      <c r="G12" s="103">
        <v>502455</v>
      </c>
      <c r="H12" s="101">
        <v>2459997</v>
      </c>
      <c r="I12" s="101">
        <v>2459998</v>
      </c>
      <c r="J12" s="104">
        <v>2225.5600000000013</v>
      </c>
      <c r="K12" s="105"/>
      <c r="L12" s="101"/>
      <c r="M12" s="101"/>
      <c r="N12" s="112" t="s">
        <v>183</v>
      </c>
      <c r="O12" s="113"/>
      <c r="P12" s="101"/>
    </row>
    <row r="13" spans="2:16" ht="16.5" thickBot="1" x14ac:dyDescent="0.3">
      <c r="B13" s="102">
        <v>46094</v>
      </c>
      <c r="C13" s="103">
        <v>12878</v>
      </c>
      <c r="D13" s="103" t="s">
        <v>19</v>
      </c>
      <c r="E13" s="103" t="s">
        <v>40</v>
      </c>
      <c r="F13" s="103">
        <v>10</v>
      </c>
      <c r="G13" s="103">
        <v>8127</v>
      </c>
      <c r="H13" s="101">
        <v>2459998</v>
      </c>
      <c r="I13" s="101">
        <v>2460008</v>
      </c>
      <c r="J13" s="104">
        <v>2215.5600000000013</v>
      </c>
      <c r="K13" s="105"/>
      <c r="L13" s="101"/>
      <c r="M13" s="101"/>
      <c r="N13" s="108"/>
      <c r="O13" s="114">
        <v>0</v>
      </c>
      <c r="P13" s="115"/>
    </row>
    <row r="14" spans="2:16" ht="16.5" thickBot="1" x14ac:dyDescent="0.3">
      <c r="B14" s="102">
        <v>46094</v>
      </c>
      <c r="C14" s="103">
        <v>12879</v>
      </c>
      <c r="D14" s="103" t="s">
        <v>19</v>
      </c>
      <c r="E14" s="103" t="s">
        <v>41</v>
      </c>
      <c r="F14" s="103">
        <v>5</v>
      </c>
      <c r="G14" s="103">
        <v>29958</v>
      </c>
      <c r="H14" s="101">
        <v>2460008</v>
      </c>
      <c r="I14" s="101">
        <v>2460013</v>
      </c>
      <c r="J14" s="104">
        <v>2210.5600000000013</v>
      </c>
      <c r="K14" s="105"/>
      <c r="L14" s="101"/>
      <c r="M14" s="101"/>
      <c r="N14" s="108"/>
      <c r="O14" s="114">
        <v>0</v>
      </c>
      <c r="P14" s="101"/>
    </row>
    <row r="15" spans="2:16" ht="16.5" thickBot="1" x14ac:dyDescent="0.3">
      <c r="B15" s="102">
        <v>46094</v>
      </c>
      <c r="C15" s="103">
        <v>12880</v>
      </c>
      <c r="D15" s="103" t="s">
        <v>50</v>
      </c>
      <c r="E15" s="103" t="s">
        <v>30</v>
      </c>
      <c r="F15" s="103">
        <v>85</v>
      </c>
      <c r="G15" s="103">
        <v>865274</v>
      </c>
      <c r="H15" s="101">
        <v>2460013</v>
      </c>
      <c r="I15" s="101">
        <v>2460098</v>
      </c>
      <c r="J15" s="104">
        <v>2125.5600000000013</v>
      </c>
      <c r="K15" s="105"/>
      <c r="L15" s="101"/>
      <c r="M15" s="101"/>
      <c r="P15" s="115"/>
    </row>
    <row r="16" spans="2:16" ht="16.5" thickBot="1" x14ac:dyDescent="0.3">
      <c r="B16" s="102">
        <v>46094</v>
      </c>
      <c r="C16" s="103">
        <v>12881</v>
      </c>
      <c r="D16" s="103" t="s">
        <v>50</v>
      </c>
      <c r="E16" s="103" t="s">
        <v>44</v>
      </c>
      <c r="F16" s="103">
        <v>1</v>
      </c>
      <c r="G16" s="103">
        <v>476767</v>
      </c>
      <c r="H16" s="101">
        <v>2460098</v>
      </c>
      <c r="I16" s="101">
        <v>2460099</v>
      </c>
      <c r="J16" s="104">
        <v>2124.5600000000013</v>
      </c>
      <c r="K16" s="105"/>
      <c r="L16" s="116" t="s">
        <v>184</v>
      </c>
      <c r="M16" s="101"/>
      <c r="N16" s="101"/>
      <c r="O16" s="101"/>
      <c r="P16" s="101"/>
    </row>
    <row r="17" spans="2:16" ht="16.5" thickBot="1" x14ac:dyDescent="0.3">
      <c r="B17" s="102">
        <v>46094</v>
      </c>
      <c r="C17" s="117">
        <v>12882</v>
      </c>
      <c r="D17" s="117" t="s">
        <v>50</v>
      </c>
      <c r="E17" s="117" t="s">
        <v>20</v>
      </c>
      <c r="F17" s="117">
        <v>1</v>
      </c>
      <c r="G17" s="117">
        <v>69331</v>
      </c>
      <c r="H17" s="101">
        <v>2460099</v>
      </c>
      <c r="I17" s="101">
        <v>2460100</v>
      </c>
      <c r="J17" s="104">
        <v>2123.5600000000013</v>
      </c>
      <c r="K17" s="118"/>
      <c r="L17" s="119">
        <f>SUM(F2:F17)</f>
        <v>442</v>
      </c>
      <c r="M17" s="120"/>
      <c r="N17" s="121" t="s">
        <v>185</v>
      </c>
      <c r="O17" s="122"/>
      <c r="P17" s="114">
        <v>12423</v>
      </c>
    </row>
    <row r="18" spans="2:16" ht="16.5" thickBot="1" x14ac:dyDescent="0.3">
      <c r="B18" s="96">
        <v>46095</v>
      </c>
      <c r="C18" s="123">
        <v>12883</v>
      </c>
      <c r="D18" s="123" t="s">
        <v>50</v>
      </c>
      <c r="E18" s="123" t="s">
        <v>44</v>
      </c>
      <c r="F18" s="123">
        <v>100</v>
      </c>
      <c r="G18" s="123">
        <v>476767</v>
      </c>
      <c r="H18" s="98">
        <v>2460100</v>
      </c>
      <c r="I18" s="98">
        <v>2460200</v>
      </c>
      <c r="J18" s="99">
        <v>2023.5600000000013</v>
      </c>
      <c r="K18" s="124"/>
      <c r="L18" s="101"/>
      <c r="M18" s="101"/>
      <c r="N18" s="125" t="s">
        <v>186</v>
      </c>
      <c r="O18" s="126"/>
      <c r="P18" s="114">
        <v>2124</v>
      </c>
    </row>
    <row r="19" spans="2:16" ht="15.75" x14ac:dyDescent="0.25">
      <c r="B19" s="102">
        <v>46095</v>
      </c>
      <c r="C19" s="127">
        <v>12884</v>
      </c>
      <c r="D19" s="127" t="s">
        <v>50</v>
      </c>
      <c r="E19" s="127" t="s">
        <v>72</v>
      </c>
      <c r="F19" s="127">
        <v>100</v>
      </c>
      <c r="G19" s="127">
        <v>41985</v>
      </c>
      <c r="H19" s="101">
        <v>2460200</v>
      </c>
      <c r="I19" s="101">
        <v>2460300</v>
      </c>
      <c r="J19" s="104">
        <v>1923.5600000000013</v>
      </c>
      <c r="K19" s="128"/>
      <c r="L19" s="101"/>
      <c r="M19" s="101"/>
      <c r="N19" s="101"/>
      <c r="O19" s="101"/>
      <c r="P19" s="101"/>
    </row>
    <row r="20" spans="2:16" ht="15.75" x14ac:dyDescent="0.25">
      <c r="B20" s="102">
        <v>46095</v>
      </c>
      <c r="C20" s="127">
        <v>12885</v>
      </c>
      <c r="D20" s="127" t="s">
        <v>50</v>
      </c>
      <c r="E20" s="127" t="s">
        <v>20</v>
      </c>
      <c r="F20" s="127">
        <v>100</v>
      </c>
      <c r="G20" s="127">
        <v>69331</v>
      </c>
      <c r="H20" s="101">
        <v>2160301</v>
      </c>
      <c r="I20" s="101">
        <v>2160401</v>
      </c>
      <c r="J20" s="104">
        <v>1823.5600000000013</v>
      </c>
      <c r="K20" s="128"/>
      <c r="L20" s="101"/>
      <c r="M20" s="101"/>
      <c r="N20" s="101"/>
      <c r="O20" s="101"/>
      <c r="P20" s="101"/>
    </row>
    <row r="21" spans="2:16" ht="15.75" x14ac:dyDescent="0.25">
      <c r="B21" s="102">
        <v>46095</v>
      </c>
      <c r="C21" s="127">
        <v>12886</v>
      </c>
      <c r="D21" s="127" t="s">
        <v>50</v>
      </c>
      <c r="E21" s="127" t="s">
        <v>47</v>
      </c>
      <c r="F21" s="127">
        <v>113</v>
      </c>
      <c r="G21" s="127">
        <v>40447</v>
      </c>
      <c r="H21" s="101">
        <v>2160402</v>
      </c>
      <c r="I21" s="101">
        <v>2160515</v>
      </c>
      <c r="J21" s="104">
        <v>1710.5600000000013</v>
      </c>
      <c r="K21" s="128"/>
      <c r="L21" s="101"/>
      <c r="M21" s="101"/>
      <c r="N21" s="101"/>
      <c r="O21" s="101"/>
      <c r="P21" s="101"/>
    </row>
    <row r="22" spans="2:16" ht="15.75" x14ac:dyDescent="0.25">
      <c r="B22" s="102">
        <v>46095</v>
      </c>
      <c r="C22" s="127">
        <v>12887</v>
      </c>
      <c r="D22" s="127" t="s">
        <v>31</v>
      </c>
      <c r="E22" s="127" t="s">
        <v>48</v>
      </c>
      <c r="F22" s="127">
        <v>100</v>
      </c>
      <c r="G22" s="127">
        <v>114669</v>
      </c>
      <c r="H22" s="101">
        <v>2160516</v>
      </c>
      <c r="I22" s="101">
        <v>2160616</v>
      </c>
      <c r="J22" s="104">
        <v>1610.5600000000013</v>
      </c>
      <c r="K22" s="128"/>
      <c r="L22" s="101"/>
      <c r="M22" s="101"/>
      <c r="N22" s="101"/>
      <c r="O22" s="101"/>
      <c r="P22" s="101"/>
    </row>
    <row r="23" spans="2:16" ht="15.75" x14ac:dyDescent="0.25">
      <c r="B23" s="102">
        <v>46095</v>
      </c>
      <c r="C23" s="127">
        <v>12888</v>
      </c>
      <c r="D23" s="127" t="s">
        <v>19</v>
      </c>
      <c r="E23" s="127" t="s">
        <v>51</v>
      </c>
      <c r="F23" s="127">
        <v>100</v>
      </c>
      <c r="G23" s="127">
        <v>124492</v>
      </c>
      <c r="H23" s="101">
        <v>2460616</v>
      </c>
      <c r="I23" s="101">
        <v>2460716</v>
      </c>
      <c r="J23" s="104">
        <v>1510.5600000000013</v>
      </c>
      <c r="K23" s="128"/>
      <c r="L23" s="101"/>
      <c r="M23" s="101"/>
      <c r="N23" s="101"/>
      <c r="O23" s="101"/>
      <c r="P23" s="101"/>
    </row>
    <row r="24" spans="2:16" ht="15.75" x14ac:dyDescent="0.25">
      <c r="B24" s="102">
        <v>46095</v>
      </c>
      <c r="C24" s="127">
        <v>12889</v>
      </c>
      <c r="D24" s="127" t="s">
        <v>19</v>
      </c>
      <c r="E24" s="127" t="s">
        <v>56</v>
      </c>
      <c r="F24" s="127">
        <v>100</v>
      </c>
      <c r="G24" s="127">
        <v>53018</v>
      </c>
      <c r="H24" s="101">
        <v>2460717</v>
      </c>
      <c r="I24" s="101">
        <v>2460817</v>
      </c>
      <c r="J24" s="104">
        <v>1410.5600000000013</v>
      </c>
      <c r="K24" s="128"/>
      <c r="L24" s="101"/>
      <c r="M24" s="101"/>
      <c r="N24" s="101"/>
      <c r="O24" s="101"/>
      <c r="P24" s="101"/>
    </row>
    <row r="25" spans="2:16" ht="15.75" x14ac:dyDescent="0.25">
      <c r="B25" s="102">
        <v>46095</v>
      </c>
      <c r="C25" s="127">
        <v>12890</v>
      </c>
      <c r="D25" s="127" t="s">
        <v>19</v>
      </c>
      <c r="E25" s="127" t="s">
        <v>39</v>
      </c>
      <c r="F25" s="127">
        <v>100</v>
      </c>
      <c r="G25" s="127">
        <v>23372</v>
      </c>
      <c r="H25" s="101">
        <v>2460817</v>
      </c>
      <c r="I25" s="101">
        <v>2460917</v>
      </c>
      <c r="J25" s="104">
        <v>1310.5600000000013</v>
      </c>
      <c r="K25" s="128"/>
      <c r="L25" s="101"/>
      <c r="M25" s="101"/>
      <c r="N25" s="101"/>
      <c r="O25" s="101"/>
      <c r="P25" s="101"/>
    </row>
    <row r="26" spans="2:16" ht="15.75" x14ac:dyDescent="0.25">
      <c r="B26" s="102">
        <v>46095</v>
      </c>
      <c r="C26" s="127">
        <v>12891</v>
      </c>
      <c r="D26" s="127" t="s">
        <v>19</v>
      </c>
      <c r="E26" s="127" t="s">
        <v>103</v>
      </c>
      <c r="F26" s="127">
        <v>80</v>
      </c>
      <c r="G26" s="127">
        <v>1021921</v>
      </c>
      <c r="H26" s="101">
        <v>2460917</v>
      </c>
      <c r="I26" s="101">
        <v>2460997</v>
      </c>
      <c r="J26" s="104">
        <v>1230.5600000000013</v>
      </c>
      <c r="K26" s="128" t="s">
        <v>187</v>
      </c>
      <c r="L26" s="101"/>
      <c r="M26" s="101"/>
      <c r="N26" s="101"/>
      <c r="O26" s="101"/>
      <c r="P26" s="101"/>
    </row>
    <row r="27" spans="2:16" ht="15.75" x14ac:dyDescent="0.25">
      <c r="B27" s="102">
        <v>46095</v>
      </c>
      <c r="C27" s="127">
        <v>12892</v>
      </c>
      <c r="D27" s="127" t="s">
        <v>19</v>
      </c>
      <c r="E27" s="127" t="s">
        <v>54</v>
      </c>
      <c r="F27" s="127">
        <v>100</v>
      </c>
      <c r="G27" s="127">
        <v>468432</v>
      </c>
      <c r="H27" s="101">
        <v>2460997</v>
      </c>
      <c r="I27" s="101">
        <v>2461097</v>
      </c>
      <c r="J27" s="104">
        <v>1130.5600000000013</v>
      </c>
      <c r="K27" s="128"/>
      <c r="L27" s="101"/>
      <c r="M27" s="101"/>
      <c r="N27" s="101"/>
      <c r="O27" s="101"/>
      <c r="P27" s="101"/>
    </row>
    <row r="28" spans="2:16" ht="15.75" x14ac:dyDescent="0.25">
      <c r="B28" s="102">
        <v>46095</v>
      </c>
      <c r="C28" s="127">
        <v>12893</v>
      </c>
      <c r="D28" s="127" t="s">
        <v>19</v>
      </c>
      <c r="E28" s="127" t="s">
        <v>36</v>
      </c>
      <c r="F28" s="127">
        <v>120</v>
      </c>
      <c r="G28" s="127">
        <v>502644</v>
      </c>
      <c r="H28" s="101">
        <v>2461098</v>
      </c>
      <c r="I28" s="101">
        <v>2461218</v>
      </c>
      <c r="J28" s="104">
        <v>1010.5600000000013</v>
      </c>
      <c r="K28" s="128"/>
      <c r="L28" s="101"/>
      <c r="M28" s="101"/>
      <c r="N28" s="101"/>
      <c r="O28" s="101"/>
      <c r="P28" s="101"/>
    </row>
    <row r="29" spans="2:16" ht="15.75" x14ac:dyDescent="0.25">
      <c r="B29" s="102">
        <v>46095</v>
      </c>
      <c r="C29" s="127">
        <v>12894</v>
      </c>
      <c r="D29" s="127" t="s">
        <v>19</v>
      </c>
      <c r="E29" s="127" t="s">
        <v>57</v>
      </c>
      <c r="F29" s="127">
        <v>100</v>
      </c>
      <c r="G29" s="127">
        <v>431273</v>
      </c>
      <c r="H29" s="101">
        <v>2461218</v>
      </c>
      <c r="I29" s="101">
        <v>2461318</v>
      </c>
      <c r="J29" s="104">
        <v>910.56000000000131</v>
      </c>
      <c r="K29" s="128"/>
      <c r="L29" s="101"/>
      <c r="M29" s="101"/>
      <c r="N29" s="101"/>
      <c r="O29" s="101"/>
      <c r="P29" s="101"/>
    </row>
    <row r="30" spans="2:16" ht="15.75" x14ac:dyDescent="0.25">
      <c r="B30" s="102">
        <v>46095</v>
      </c>
      <c r="C30" s="127">
        <v>12895</v>
      </c>
      <c r="D30" s="127" t="s">
        <v>104</v>
      </c>
      <c r="E30" s="127" t="s">
        <v>35</v>
      </c>
      <c r="F30" s="127">
        <v>100</v>
      </c>
      <c r="G30" s="127">
        <v>34326</v>
      </c>
      <c r="H30" s="101">
        <v>2461318</v>
      </c>
      <c r="I30" s="101">
        <v>2461418</v>
      </c>
      <c r="J30" s="104">
        <v>810.56000000000131</v>
      </c>
      <c r="K30" s="128"/>
      <c r="L30" s="101"/>
      <c r="M30" s="101"/>
      <c r="N30" s="101"/>
      <c r="O30" s="101"/>
      <c r="P30" s="101"/>
    </row>
    <row r="31" spans="2:16" ht="15.75" x14ac:dyDescent="0.25">
      <c r="B31" s="102">
        <v>46095</v>
      </c>
      <c r="C31" s="127">
        <v>12896</v>
      </c>
      <c r="D31" s="127" t="s">
        <v>19</v>
      </c>
      <c r="E31" s="127" t="s">
        <v>43</v>
      </c>
      <c r="F31" s="127">
        <v>100</v>
      </c>
      <c r="G31" s="127">
        <v>440479</v>
      </c>
      <c r="H31" s="101">
        <v>2461418</v>
      </c>
      <c r="I31" s="101">
        <v>2461518</v>
      </c>
      <c r="J31" s="104">
        <v>710.56000000000131</v>
      </c>
      <c r="K31" s="128"/>
      <c r="L31" s="101"/>
      <c r="M31" s="101"/>
      <c r="N31" s="101"/>
      <c r="O31" s="101"/>
      <c r="P31" s="101"/>
    </row>
    <row r="32" spans="2:16" ht="15.75" x14ac:dyDescent="0.25">
      <c r="B32" s="102">
        <v>46095</v>
      </c>
      <c r="C32" s="127">
        <v>128979</v>
      </c>
      <c r="D32" s="127" t="s">
        <v>19</v>
      </c>
      <c r="E32" s="127" t="s">
        <v>33</v>
      </c>
      <c r="F32" s="127">
        <v>100</v>
      </c>
      <c r="G32" s="127">
        <v>54238</v>
      </c>
      <c r="H32" s="101">
        <v>2461518</v>
      </c>
      <c r="I32" s="101">
        <v>2461618</v>
      </c>
      <c r="J32" s="104">
        <v>610.56000000000131</v>
      </c>
      <c r="K32" s="128"/>
      <c r="L32" s="101"/>
      <c r="M32" s="101"/>
      <c r="N32" s="101"/>
      <c r="O32" s="101"/>
      <c r="P32" s="101"/>
    </row>
    <row r="33" spans="2:16" ht="15.75" x14ac:dyDescent="0.25">
      <c r="B33" s="102">
        <v>46095</v>
      </c>
      <c r="C33" s="127">
        <v>12898</v>
      </c>
      <c r="D33" s="127" t="s">
        <v>19</v>
      </c>
      <c r="E33" s="127" t="s">
        <v>53</v>
      </c>
      <c r="F33" s="127">
        <v>100</v>
      </c>
      <c r="G33" s="127">
        <v>35578</v>
      </c>
      <c r="H33" s="101">
        <v>2461618</v>
      </c>
      <c r="I33" s="101">
        <v>2461718</v>
      </c>
      <c r="J33" s="104">
        <v>510.56000000000131</v>
      </c>
      <c r="K33" s="128"/>
      <c r="L33" s="101"/>
      <c r="M33" s="101"/>
      <c r="N33" s="101"/>
      <c r="O33" s="101"/>
      <c r="P33" s="101"/>
    </row>
    <row r="34" spans="2:16" ht="15.75" x14ac:dyDescent="0.25">
      <c r="B34" s="102">
        <v>46095</v>
      </c>
      <c r="C34" s="127">
        <v>12899</v>
      </c>
      <c r="D34" s="127" t="s">
        <v>19</v>
      </c>
      <c r="E34" s="127" t="s">
        <v>32</v>
      </c>
      <c r="F34" s="127">
        <v>100</v>
      </c>
      <c r="G34" s="127">
        <v>4852</v>
      </c>
      <c r="H34" s="101">
        <v>2461718</v>
      </c>
      <c r="I34" s="101">
        <v>2461818</v>
      </c>
      <c r="J34" s="104">
        <v>410.56000000000131</v>
      </c>
      <c r="K34" s="128"/>
      <c r="L34" s="101"/>
      <c r="M34" s="101"/>
      <c r="N34" s="101"/>
      <c r="O34" s="101"/>
      <c r="P34" s="101"/>
    </row>
    <row r="35" spans="2:16" ht="16.5" thickBot="1" x14ac:dyDescent="0.3">
      <c r="B35" s="102">
        <v>46095</v>
      </c>
      <c r="C35" s="127">
        <v>12900</v>
      </c>
      <c r="D35" s="127" t="s">
        <v>19</v>
      </c>
      <c r="E35" s="127" t="s">
        <v>41</v>
      </c>
      <c r="F35" s="127">
        <v>100</v>
      </c>
      <c r="G35" s="127">
        <v>30180</v>
      </c>
      <c r="H35" s="101">
        <v>2461818</v>
      </c>
      <c r="I35" s="101">
        <v>2461918</v>
      </c>
      <c r="J35" s="104">
        <v>310.56000000000131</v>
      </c>
      <c r="K35" s="128"/>
      <c r="L35" s="101"/>
      <c r="M35" s="101"/>
      <c r="N35" s="101"/>
      <c r="O35" s="101"/>
      <c r="P35" s="101"/>
    </row>
    <row r="36" spans="2:16" ht="15.75" x14ac:dyDescent="0.25">
      <c r="B36" s="102">
        <v>46095</v>
      </c>
      <c r="C36" s="127">
        <v>12901</v>
      </c>
      <c r="D36" s="127" t="s">
        <v>104</v>
      </c>
      <c r="E36" s="127" t="s">
        <v>40</v>
      </c>
      <c r="F36" s="127">
        <v>100</v>
      </c>
      <c r="G36" s="127">
        <v>8265</v>
      </c>
      <c r="H36" s="101">
        <v>2461919</v>
      </c>
      <c r="I36" s="101">
        <v>2462019</v>
      </c>
      <c r="J36" s="104">
        <v>210.56000000000131</v>
      </c>
      <c r="K36" s="128"/>
      <c r="L36" s="129" t="s">
        <v>184</v>
      </c>
      <c r="M36" s="101"/>
      <c r="N36" s="101"/>
      <c r="O36" s="101"/>
      <c r="P36" s="101"/>
    </row>
    <row r="37" spans="2:16" ht="16.5" thickBot="1" x14ac:dyDescent="0.3">
      <c r="B37" s="130">
        <v>46095</v>
      </c>
      <c r="C37" s="131">
        <v>12902</v>
      </c>
      <c r="D37" s="131" t="s">
        <v>50</v>
      </c>
      <c r="E37" s="131" t="s">
        <v>30</v>
      </c>
      <c r="F37" s="131">
        <v>234</v>
      </c>
      <c r="G37" s="131">
        <v>866074</v>
      </c>
      <c r="H37" s="120">
        <v>2462018</v>
      </c>
      <c r="I37" s="132">
        <v>2462252</v>
      </c>
      <c r="J37" s="133">
        <v>-23.43999999999869</v>
      </c>
      <c r="K37" s="134"/>
      <c r="L37" s="119">
        <f>SUM(F18:F37)</f>
        <v>2147</v>
      </c>
      <c r="M37" s="101"/>
      <c r="N37" s="101"/>
      <c r="O37" s="101"/>
      <c r="P37" s="101"/>
    </row>
    <row r="38" spans="2:16" ht="16.5" thickBot="1" x14ac:dyDescent="0.3">
      <c r="B38" s="96">
        <v>46099</v>
      </c>
      <c r="C38" s="97">
        <v>12903</v>
      </c>
      <c r="D38" s="97" t="s">
        <v>19</v>
      </c>
      <c r="E38" s="97" t="s">
        <v>32</v>
      </c>
      <c r="F38" s="97">
        <v>150</v>
      </c>
      <c r="G38" s="97">
        <v>5073</v>
      </c>
      <c r="H38" s="144">
        <v>2462259</v>
      </c>
      <c r="I38" s="98">
        <v>2462409</v>
      </c>
      <c r="J38" s="99">
        <v>9850</v>
      </c>
      <c r="K38" s="100"/>
      <c r="L38" s="135"/>
      <c r="M38" s="135" t="s">
        <v>188</v>
      </c>
      <c r="N38" s="136"/>
      <c r="O38" s="114">
        <v>10000</v>
      </c>
      <c r="P38" s="101"/>
    </row>
    <row r="39" spans="2:16" ht="16.5" thickBot="1" x14ac:dyDescent="0.3">
      <c r="B39" s="102">
        <v>46099</v>
      </c>
      <c r="C39" s="103">
        <v>12904</v>
      </c>
      <c r="D39" s="103" t="s">
        <v>19</v>
      </c>
      <c r="E39" s="103" t="s">
        <v>41</v>
      </c>
      <c r="F39" s="103">
        <v>50</v>
      </c>
      <c r="G39" s="103">
        <v>30544</v>
      </c>
      <c r="H39" s="145">
        <v>2462409</v>
      </c>
      <c r="I39" s="145">
        <v>2462459</v>
      </c>
      <c r="J39" s="104">
        <v>9800</v>
      </c>
      <c r="K39" s="105"/>
      <c r="L39" s="101"/>
      <c r="M39" s="101"/>
      <c r="N39" s="137" t="s">
        <v>189</v>
      </c>
      <c r="O39" s="114">
        <v>10000</v>
      </c>
      <c r="P39" s="101"/>
    </row>
    <row r="40" spans="2:16" ht="15.75" x14ac:dyDescent="0.25">
      <c r="B40" s="102">
        <v>46099</v>
      </c>
      <c r="C40" s="103">
        <v>12905</v>
      </c>
      <c r="D40" s="103" t="s">
        <v>19</v>
      </c>
      <c r="E40" s="103" t="s">
        <v>56</v>
      </c>
      <c r="F40" s="103">
        <v>200</v>
      </c>
      <c r="G40" s="103">
        <v>5306</v>
      </c>
      <c r="H40" s="145">
        <v>2462460</v>
      </c>
      <c r="I40" s="145">
        <v>2462660</v>
      </c>
      <c r="J40" s="104">
        <v>9600</v>
      </c>
      <c r="K40" s="105"/>
      <c r="L40" s="101"/>
      <c r="M40" s="101"/>
      <c r="N40" s="101"/>
      <c r="O40" s="101"/>
      <c r="P40" s="101"/>
    </row>
    <row r="41" spans="2:16" ht="16.5" thickBot="1" x14ac:dyDescent="0.3">
      <c r="B41" s="102">
        <v>46099</v>
      </c>
      <c r="C41" s="103">
        <v>12906</v>
      </c>
      <c r="D41" s="103" t="s">
        <v>19</v>
      </c>
      <c r="E41" s="103" t="s">
        <v>47</v>
      </c>
      <c r="F41" s="103">
        <v>210</v>
      </c>
      <c r="G41" s="103">
        <v>10931</v>
      </c>
      <c r="H41" s="145">
        <v>2462660</v>
      </c>
      <c r="I41" s="146">
        <v>2462870</v>
      </c>
      <c r="J41" s="104">
        <v>9390</v>
      </c>
      <c r="K41" s="105"/>
      <c r="L41" s="101"/>
      <c r="M41" s="101"/>
      <c r="N41" s="101"/>
      <c r="O41" s="101"/>
      <c r="P41" s="101"/>
    </row>
    <row r="42" spans="2:16" ht="16.5" thickBot="1" x14ac:dyDescent="0.3">
      <c r="B42" s="102">
        <v>46099</v>
      </c>
      <c r="C42" s="103">
        <v>12907</v>
      </c>
      <c r="D42" s="103" t="s">
        <v>19</v>
      </c>
      <c r="E42" s="103" t="s">
        <v>72</v>
      </c>
      <c r="F42" s="103">
        <v>205</v>
      </c>
      <c r="G42" s="103">
        <v>42364</v>
      </c>
      <c r="H42" s="147">
        <v>2462870</v>
      </c>
      <c r="I42" s="145">
        <v>2463075</v>
      </c>
      <c r="J42" s="104">
        <v>20185</v>
      </c>
      <c r="K42" s="105"/>
      <c r="L42" s="135"/>
      <c r="M42" s="135" t="s">
        <v>190</v>
      </c>
      <c r="N42" s="136"/>
      <c r="O42" s="114">
        <v>11000</v>
      </c>
      <c r="P42" s="101"/>
    </row>
    <row r="43" spans="2:16" ht="16.5" thickBot="1" x14ac:dyDescent="0.3">
      <c r="B43" s="102">
        <v>46099</v>
      </c>
      <c r="C43" s="103">
        <v>12908</v>
      </c>
      <c r="D43" s="103" t="s">
        <v>19</v>
      </c>
      <c r="E43" s="103" t="s">
        <v>55</v>
      </c>
      <c r="F43" s="103">
        <v>220</v>
      </c>
      <c r="G43" s="103">
        <v>779685</v>
      </c>
      <c r="H43" s="145">
        <v>2463075</v>
      </c>
      <c r="I43" s="145">
        <v>2463295</v>
      </c>
      <c r="J43" s="104">
        <v>19965</v>
      </c>
      <c r="K43" s="105"/>
      <c r="L43" s="101"/>
      <c r="M43" s="101"/>
      <c r="N43" s="137" t="s">
        <v>189</v>
      </c>
      <c r="O43" s="114">
        <f>O39-F38-F39-F40-F41+O42</f>
        <v>20390</v>
      </c>
      <c r="P43" s="101"/>
    </row>
    <row r="44" spans="2:16" ht="15.75" x14ac:dyDescent="0.25">
      <c r="B44" s="102">
        <v>46099</v>
      </c>
      <c r="C44" s="103">
        <v>12909</v>
      </c>
      <c r="D44" s="103" t="s">
        <v>19</v>
      </c>
      <c r="E44" s="103" t="s">
        <v>57</v>
      </c>
      <c r="F44" s="103">
        <v>150</v>
      </c>
      <c r="G44" s="103">
        <v>431715</v>
      </c>
      <c r="H44" s="145">
        <v>2463296</v>
      </c>
      <c r="I44" s="145">
        <v>2463446</v>
      </c>
      <c r="J44" s="104">
        <v>19815</v>
      </c>
      <c r="K44" s="105" t="s">
        <v>191</v>
      </c>
      <c r="L44" s="101"/>
      <c r="M44" s="101"/>
      <c r="N44" s="101"/>
      <c r="O44" s="101"/>
      <c r="P44" s="101"/>
    </row>
    <row r="45" spans="2:16" ht="15.75" x14ac:dyDescent="0.25">
      <c r="B45" s="102">
        <v>46099</v>
      </c>
      <c r="C45" s="103">
        <v>12910</v>
      </c>
      <c r="D45" s="103" t="s">
        <v>19</v>
      </c>
      <c r="E45" s="103" t="s">
        <v>53</v>
      </c>
      <c r="F45" s="103">
        <v>120</v>
      </c>
      <c r="G45" s="103">
        <v>36050</v>
      </c>
      <c r="H45" s="145">
        <v>2463446</v>
      </c>
      <c r="I45" s="145">
        <v>2463566</v>
      </c>
      <c r="J45" s="104">
        <v>19695</v>
      </c>
      <c r="K45" s="105"/>
      <c r="L45" s="101"/>
      <c r="M45" s="101"/>
      <c r="N45" s="101"/>
      <c r="O45" s="101"/>
      <c r="P45" s="101"/>
    </row>
    <row r="46" spans="2:16" ht="15.75" x14ac:dyDescent="0.25">
      <c r="B46" s="102">
        <v>46099</v>
      </c>
      <c r="C46" s="103">
        <v>12911</v>
      </c>
      <c r="D46" s="103" t="s">
        <v>19</v>
      </c>
      <c r="E46" s="103" t="s">
        <v>33</v>
      </c>
      <c r="F46" s="103">
        <v>100</v>
      </c>
      <c r="G46" s="103">
        <v>54716</v>
      </c>
      <c r="H46" s="145">
        <v>2463566</v>
      </c>
      <c r="I46" s="145">
        <v>2463666</v>
      </c>
      <c r="J46" s="104">
        <v>19595</v>
      </c>
      <c r="K46" s="105"/>
      <c r="L46" s="101"/>
      <c r="M46" s="101"/>
      <c r="N46" s="101"/>
      <c r="O46" s="101"/>
      <c r="P46" s="101"/>
    </row>
    <row r="47" spans="2:16" ht="15.75" x14ac:dyDescent="0.25">
      <c r="B47" s="102">
        <v>46099</v>
      </c>
      <c r="C47" s="103">
        <v>12912</v>
      </c>
      <c r="D47" s="103" t="s">
        <v>19</v>
      </c>
      <c r="E47" s="103" t="s">
        <v>43</v>
      </c>
      <c r="F47" s="103">
        <v>80</v>
      </c>
      <c r="G47" s="103">
        <v>440931</v>
      </c>
      <c r="H47" s="145">
        <v>2463667</v>
      </c>
      <c r="I47" s="145">
        <v>2463747</v>
      </c>
      <c r="J47" s="104">
        <v>19515</v>
      </c>
      <c r="K47" s="105"/>
      <c r="L47" s="101"/>
      <c r="M47" s="101"/>
      <c r="N47" s="101"/>
      <c r="O47" s="101"/>
      <c r="P47" s="101"/>
    </row>
    <row r="48" spans="2:16" ht="16.5" thickBot="1" x14ac:dyDescent="0.3">
      <c r="B48" s="102">
        <v>46099</v>
      </c>
      <c r="C48" s="103">
        <v>12913</v>
      </c>
      <c r="D48" s="103" t="s">
        <v>19</v>
      </c>
      <c r="E48" s="103" t="s">
        <v>35</v>
      </c>
      <c r="F48" s="103">
        <v>200</v>
      </c>
      <c r="G48" s="103">
        <v>34815</v>
      </c>
      <c r="H48" s="145">
        <v>2463747</v>
      </c>
      <c r="I48" s="145">
        <v>2463947</v>
      </c>
      <c r="J48" s="104">
        <v>19315</v>
      </c>
      <c r="K48" s="105"/>
      <c r="L48" s="101"/>
      <c r="M48" s="101"/>
      <c r="N48" s="101"/>
      <c r="O48" s="101"/>
      <c r="P48" s="101"/>
    </row>
    <row r="49" spans="2:16" ht="15.75" x14ac:dyDescent="0.25">
      <c r="B49" s="102">
        <v>46099</v>
      </c>
      <c r="C49" s="103">
        <v>12914</v>
      </c>
      <c r="D49" s="103" t="s">
        <v>19</v>
      </c>
      <c r="E49" s="103" t="s">
        <v>54</v>
      </c>
      <c r="F49" s="103">
        <v>77</v>
      </c>
      <c r="G49" s="103">
        <v>468949</v>
      </c>
      <c r="H49" s="145">
        <v>2463947</v>
      </c>
      <c r="I49" s="145">
        <v>2464024</v>
      </c>
      <c r="J49" s="104">
        <v>19238</v>
      </c>
      <c r="K49" s="105"/>
      <c r="L49" s="116" t="s">
        <v>184</v>
      </c>
      <c r="M49" s="101"/>
      <c r="N49" s="101"/>
      <c r="O49" s="101"/>
      <c r="P49" s="101"/>
    </row>
    <row r="50" spans="2:16" ht="16.5" thickBot="1" x14ac:dyDescent="0.3">
      <c r="B50" s="130">
        <v>46099</v>
      </c>
      <c r="C50" s="143">
        <v>12915</v>
      </c>
      <c r="D50" s="143" t="s">
        <v>19</v>
      </c>
      <c r="E50" s="143" t="s">
        <v>36</v>
      </c>
      <c r="F50" s="143">
        <v>80</v>
      </c>
      <c r="G50" s="143">
        <v>503072</v>
      </c>
      <c r="H50" s="120">
        <v>2464024</v>
      </c>
      <c r="I50" s="120">
        <v>2464104</v>
      </c>
      <c r="J50" s="138">
        <v>19158</v>
      </c>
      <c r="K50" s="118"/>
      <c r="L50" s="119">
        <f>SUM(F38:F50)</f>
        <v>1842</v>
      </c>
      <c r="M50" s="101"/>
      <c r="N50" s="101"/>
      <c r="O50" s="101"/>
      <c r="P50" s="101"/>
    </row>
    <row r="51" spans="2:16" ht="15.75" x14ac:dyDescent="0.25">
      <c r="B51" s="96">
        <v>46100</v>
      </c>
      <c r="C51" s="123">
        <v>12916</v>
      </c>
      <c r="D51" s="123" t="s">
        <v>29</v>
      </c>
      <c r="E51" s="123" t="s">
        <v>30</v>
      </c>
      <c r="F51" s="123">
        <v>1179</v>
      </c>
      <c r="G51" s="123">
        <v>868800</v>
      </c>
      <c r="H51" s="98">
        <v>2464104</v>
      </c>
      <c r="I51" s="98">
        <v>2465283</v>
      </c>
      <c r="J51" s="99">
        <v>17979</v>
      </c>
      <c r="K51" s="124"/>
      <c r="L51" s="101"/>
      <c r="M51" s="101"/>
      <c r="N51" s="101"/>
      <c r="O51" s="101"/>
      <c r="P51" s="101"/>
    </row>
    <row r="52" spans="2:16" ht="15.75" x14ac:dyDescent="0.25">
      <c r="B52" s="102">
        <v>46100</v>
      </c>
      <c r="C52" s="127">
        <v>12917</v>
      </c>
      <c r="D52" s="127" t="s">
        <v>61</v>
      </c>
      <c r="E52" s="127" t="s">
        <v>39</v>
      </c>
      <c r="F52" s="127">
        <v>105</v>
      </c>
      <c r="G52" s="127">
        <v>236095</v>
      </c>
      <c r="H52" s="101">
        <v>2465283</v>
      </c>
      <c r="I52" s="101">
        <v>2465388</v>
      </c>
      <c r="J52" s="104">
        <v>17874</v>
      </c>
      <c r="K52" s="128"/>
      <c r="L52" s="101"/>
      <c r="M52" s="101"/>
      <c r="N52" s="101"/>
      <c r="O52" s="101"/>
      <c r="P52" s="101"/>
    </row>
    <row r="53" spans="2:16" ht="15.75" x14ac:dyDescent="0.25">
      <c r="B53" s="102">
        <v>46100</v>
      </c>
      <c r="C53" s="127">
        <v>12918</v>
      </c>
      <c r="D53" s="127" t="s">
        <v>31</v>
      </c>
      <c r="E53" s="127" t="s">
        <v>44</v>
      </c>
      <c r="F53" s="127">
        <v>47</v>
      </c>
      <c r="G53" s="127">
        <v>477128</v>
      </c>
      <c r="H53" s="101">
        <v>2465389</v>
      </c>
      <c r="I53" s="101">
        <v>2465436</v>
      </c>
      <c r="J53" s="104">
        <v>17827</v>
      </c>
      <c r="K53" s="128"/>
      <c r="L53" s="101"/>
      <c r="M53" s="101"/>
      <c r="N53" s="101"/>
      <c r="O53" s="101"/>
      <c r="P53" s="101"/>
    </row>
    <row r="54" spans="2:16" ht="15.75" x14ac:dyDescent="0.25">
      <c r="B54" s="102">
        <v>46100</v>
      </c>
      <c r="C54" s="127">
        <v>12919</v>
      </c>
      <c r="D54" s="127" t="s">
        <v>50</v>
      </c>
      <c r="E54" s="127" t="s">
        <v>150</v>
      </c>
      <c r="F54" s="127">
        <v>10</v>
      </c>
      <c r="G54" s="127"/>
      <c r="H54" s="101">
        <v>2465436</v>
      </c>
      <c r="I54" s="101">
        <v>2465446</v>
      </c>
      <c r="J54" s="104">
        <v>17817</v>
      </c>
      <c r="K54" s="128"/>
      <c r="L54" s="101"/>
      <c r="M54" s="101"/>
      <c r="N54" s="101"/>
      <c r="O54" s="101"/>
      <c r="P54" s="101"/>
    </row>
    <row r="55" spans="2:16" ht="15.75" x14ac:dyDescent="0.25">
      <c r="B55" s="102">
        <v>46100</v>
      </c>
      <c r="C55" s="127">
        <v>12920</v>
      </c>
      <c r="D55" s="127" t="s">
        <v>19</v>
      </c>
      <c r="E55" s="127" t="s">
        <v>32</v>
      </c>
      <c r="F55" s="127">
        <v>50</v>
      </c>
      <c r="G55" s="127">
        <v>5434</v>
      </c>
      <c r="H55" s="101">
        <v>2465446</v>
      </c>
      <c r="I55" s="101">
        <v>2465496</v>
      </c>
      <c r="J55" s="104">
        <v>17767</v>
      </c>
      <c r="K55" s="128"/>
      <c r="L55" s="101"/>
      <c r="M55" s="101"/>
      <c r="N55" s="101"/>
      <c r="O55" s="101"/>
      <c r="P55" s="101"/>
    </row>
    <row r="56" spans="2:16" ht="15.75" x14ac:dyDescent="0.25">
      <c r="B56" s="102">
        <v>46100</v>
      </c>
      <c r="C56" s="127">
        <v>12921</v>
      </c>
      <c r="D56" s="127" t="s">
        <v>19</v>
      </c>
      <c r="E56" s="127" t="s">
        <v>82</v>
      </c>
      <c r="F56" s="127">
        <v>100</v>
      </c>
      <c r="G56" s="127">
        <v>76248</v>
      </c>
      <c r="H56" s="101">
        <v>2465496</v>
      </c>
      <c r="I56" s="101">
        <v>2465596</v>
      </c>
      <c r="J56" s="104">
        <v>17667</v>
      </c>
      <c r="K56" s="128"/>
      <c r="L56" s="101"/>
      <c r="M56" s="101"/>
      <c r="N56" s="101"/>
      <c r="O56" s="101"/>
      <c r="P56" s="101"/>
    </row>
    <row r="57" spans="2:16" ht="15.75" x14ac:dyDescent="0.25">
      <c r="B57" s="102">
        <v>46100</v>
      </c>
      <c r="C57" s="127">
        <v>12922</v>
      </c>
      <c r="D57" s="127" t="s">
        <v>19</v>
      </c>
      <c r="E57" s="127" t="s">
        <v>54</v>
      </c>
      <c r="F57" s="127">
        <v>89</v>
      </c>
      <c r="G57" s="127">
        <v>469251</v>
      </c>
      <c r="H57" s="101">
        <v>2465597</v>
      </c>
      <c r="I57" s="101">
        <v>2465686</v>
      </c>
      <c r="J57" s="104">
        <v>17578</v>
      </c>
      <c r="K57" s="128" t="s">
        <v>192</v>
      </c>
      <c r="L57" s="101"/>
      <c r="M57" s="101"/>
      <c r="N57" s="101"/>
      <c r="O57" s="101"/>
      <c r="P57" s="101"/>
    </row>
    <row r="58" spans="2:16" ht="15.75" x14ac:dyDescent="0.25">
      <c r="B58" s="102">
        <v>46100</v>
      </c>
      <c r="C58" s="127">
        <v>12923</v>
      </c>
      <c r="D58" s="127" t="s">
        <v>19</v>
      </c>
      <c r="E58" s="127" t="s">
        <v>41</v>
      </c>
      <c r="F58" s="127">
        <v>100</v>
      </c>
      <c r="G58" s="127">
        <v>30809</v>
      </c>
      <c r="H58" s="101">
        <v>2465686</v>
      </c>
      <c r="I58" s="101">
        <v>2465786</v>
      </c>
      <c r="J58" s="104">
        <v>17478</v>
      </c>
      <c r="K58" s="128"/>
      <c r="L58" s="101"/>
      <c r="M58" s="101"/>
      <c r="N58" s="101"/>
      <c r="O58" s="101"/>
      <c r="P58" s="101"/>
    </row>
    <row r="59" spans="2:16" ht="15.75" x14ac:dyDescent="0.25">
      <c r="B59" s="102">
        <v>46100</v>
      </c>
      <c r="C59" s="127">
        <v>12924</v>
      </c>
      <c r="D59" s="127" t="s">
        <v>19</v>
      </c>
      <c r="E59" s="127" t="s">
        <v>33</v>
      </c>
      <c r="F59" s="127">
        <v>30</v>
      </c>
      <c r="G59" s="127">
        <v>54981</v>
      </c>
      <c r="H59" s="101">
        <v>2465786</v>
      </c>
      <c r="I59" s="101">
        <v>2465816</v>
      </c>
      <c r="J59" s="104">
        <v>17448</v>
      </c>
      <c r="K59" s="128"/>
      <c r="L59" s="101"/>
      <c r="M59" s="101"/>
      <c r="N59" s="101"/>
      <c r="O59" s="101"/>
      <c r="P59" s="101"/>
    </row>
    <row r="60" spans="2:16" ht="15.75" x14ac:dyDescent="0.25">
      <c r="B60" s="102">
        <v>46100</v>
      </c>
      <c r="C60" s="127">
        <v>12925</v>
      </c>
      <c r="D60" s="127" t="s">
        <v>31</v>
      </c>
      <c r="E60" s="127" t="s">
        <v>43</v>
      </c>
      <c r="F60" s="127">
        <v>100</v>
      </c>
      <c r="G60" s="127">
        <v>441210</v>
      </c>
      <c r="H60" s="101">
        <v>2465817</v>
      </c>
      <c r="I60" s="101">
        <v>2465917</v>
      </c>
      <c r="J60" s="104">
        <v>17348</v>
      </c>
      <c r="K60" s="128"/>
      <c r="L60" s="101"/>
      <c r="M60" s="101"/>
      <c r="N60" s="101"/>
      <c r="O60" s="101"/>
      <c r="P60" s="101"/>
    </row>
    <row r="61" spans="2:16" ht="15.75" x14ac:dyDescent="0.25">
      <c r="B61" s="102">
        <v>46100</v>
      </c>
      <c r="C61" s="127">
        <v>12926</v>
      </c>
      <c r="D61" s="127" t="s">
        <v>31</v>
      </c>
      <c r="E61" s="127" t="s">
        <v>53</v>
      </c>
      <c r="F61" s="127">
        <v>120</v>
      </c>
      <c r="G61" s="127"/>
      <c r="H61" s="101">
        <v>2465917</v>
      </c>
      <c r="I61" s="101">
        <v>2466037</v>
      </c>
      <c r="J61" s="104">
        <v>17228</v>
      </c>
      <c r="K61" s="128"/>
      <c r="L61" s="101"/>
      <c r="M61" s="101"/>
      <c r="N61" s="101"/>
      <c r="O61" s="101"/>
      <c r="P61" s="101"/>
    </row>
    <row r="62" spans="2:16" ht="15.75" x14ac:dyDescent="0.25">
      <c r="B62" s="102">
        <v>46100</v>
      </c>
      <c r="C62" s="127">
        <v>12927</v>
      </c>
      <c r="D62" s="127" t="s">
        <v>19</v>
      </c>
      <c r="E62" s="127" t="s">
        <v>39</v>
      </c>
      <c r="F62" s="127">
        <v>100</v>
      </c>
      <c r="G62" s="127">
        <v>238195</v>
      </c>
      <c r="H62" s="101">
        <v>2466037</v>
      </c>
      <c r="I62" s="101">
        <v>2466137</v>
      </c>
      <c r="J62" s="104">
        <v>17128</v>
      </c>
      <c r="K62" s="128"/>
      <c r="L62" s="101"/>
      <c r="M62" s="101"/>
      <c r="N62" s="101"/>
      <c r="O62" s="101"/>
      <c r="P62" s="101"/>
    </row>
    <row r="63" spans="2:16" ht="16.5" thickBot="1" x14ac:dyDescent="0.3">
      <c r="B63" s="102">
        <v>46100</v>
      </c>
      <c r="C63" s="127">
        <v>12928</v>
      </c>
      <c r="D63" s="127" t="s">
        <v>19</v>
      </c>
      <c r="E63" s="127" t="s">
        <v>40</v>
      </c>
      <c r="F63" s="127">
        <v>80</v>
      </c>
      <c r="G63" s="127">
        <v>8911</v>
      </c>
      <c r="H63" s="101">
        <v>2466137</v>
      </c>
      <c r="I63" s="101">
        <v>2466217</v>
      </c>
      <c r="J63" s="104">
        <v>17048</v>
      </c>
      <c r="K63" s="128"/>
      <c r="L63" s="101"/>
      <c r="M63" s="101"/>
      <c r="N63" s="101"/>
      <c r="O63" s="101"/>
      <c r="P63" s="101"/>
    </row>
    <row r="64" spans="2:16" ht="15.75" x14ac:dyDescent="0.25">
      <c r="B64" s="102">
        <v>46100</v>
      </c>
      <c r="C64" s="127">
        <v>12929</v>
      </c>
      <c r="D64" s="127" t="s">
        <v>19</v>
      </c>
      <c r="E64" s="127" t="s">
        <v>36</v>
      </c>
      <c r="F64" s="127">
        <v>50</v>
      </c>
      <c r="G64" s="127">
        <v>503123</v>
      </c>
      <c r="H64" s="101">
        <v>2466218</v>
      </c>
      <c r="I64" s="101">
        <v>2466268</v>
      </c>
      <c r="J64" s="104">
        <v>16998</v>
      </c>
      <c r="K64" s="128"/>
      <c r="L64" s="129" t="s">
        <v>184</v>
      </c>
      <c r="M64" s="101"/>
      <c r="N64" s="101"/>
      <c r="O64" s="101"/>
      <c r="P64" s="101"/>
    </row>
    <row r="65" spans="2:16" ht="16.5" thickBot="1" x14ac:dyDescent="0.3">
      <c r="B65" s="130">
        <v>46100</v>
      </c>
      <c r="C65" s="131">
        <v>12930</v>
      </c>
      <c r="D65" s="131" t="s">
        <v>19</v>
      </c>
      <c r="E65" s="131" t="s">
        <v>30</v>
      </c>
      <c r="F65" s="131">
        <v>1146</v>
      </c>
      <c r="G65" s="131">
        <v>869929</v>
      </c>
      <c r="H65" s="120">
        <v>2466268</v>
      </c>
      <c r="I65" s="120">
        <v>2467414</v>
      </c>
      <c r="J65" s="138">
        <v>15852</v>
      </c>
      <c r="K65" s="134"/>
      <c r="L65" s="119">
        <f>SUM(F51:F65)</f>
        <v>3306</v>
      </c>
      <c r="M65" s="101"/>
      <c r="N65" s="106" t="s">
        <v>193</v>
      </c>
      <c r="O65" s="107"/>
      <c r="P65" s="101"/>
    </row>
    <row r="66" spans="2:16" ht="15.75" x14ac:dyDescent="0.25">
      <c r="B66" s="96">
        <v>46101</v>
      </c>
      <c r="C66" s="97">
        <v>12931</v>
      </c>
      <c r="D66" s="97" t="s">
        <v>61</v>
      </c>
      <c r="E66" s="97" t="s">
        <v>72</v>
      </c>
      <c r="F66" s="97">
        <v>100</v>
      </c>
      <c r="G66" s="97">
        <v>42517</v>
      </c>
      <c r="H66" s="98">
        <v>2467414</v>
      </c>
      <c r="I66" s="98">
        <v>2467514</v>
      </c>
      <c r="J66" s="99">
        <v>15752</v>
      </c>
      <c r="K66" s="100"/>
      <c r="L66" s="101"/>
      <c r="M66" s="101"/>
      <c r="N66" s="108" t="s">
        <v>194</v>
      </c>
      <c r="O66" s="109">
        <v>8692</v>
      </c>
      <c r="P66" s="101"/>
    </row>
    <row r="67" spans="2:16" ht="15.75" x14ac:dyDescent="0.25">
      <c r="B67" s="102">
        <v>46101</v>
      </c>
      <c r="C67" s="103">
        <v>12932</v>
      </c>
      <c r="D67" s="103" t="s">
        <v>19</v>
      </c>
      <c r="E67" s="103" t="s">
        <v>158</v>
      </c>
      <c r="F67" s="103">
        <v>60</v>
      </c>
      <c r="G67" s="103"/>
      <c r="H67" s="101">
        <v>2467514</v>
      </c>
      <c r="I67" s="101">
        <v>2467574</v>
      </c>
      <c r="J67" s="104">
        <v>15692</v>
      </c>
      <c r="K67" s="105"/>
      <c r="L67" s="101"/>
      <c r="M67" s="101"/>
      <c r="N67" s="108" t="s">
        <v>195</v>
      </c>
      <c r="O67" s="109">
        <v>2481</v>
      </c>
      <c r="P67" s="101"/>
    </row>
    <row r="68" spans="2:16" ht="16.5" thickBot="1" x14ac:dyDescent="0.3">
      <c r="B68" s="102">
        <v>46101</v>
      </c>
      <c r="C68" s="103">
        <v>12933</v>
      </c>
      <c r="D68" s="103" t="s">
        <v>161</v>
      </c>
      <c r="E68" s="103" t="s">
        <v>162</v>
      </c>
      <c r="F68" s="103">
        <v>1003</v>
      </c>
      <c r="G68" s="103">
        <v>870893</v>
      </c>
      <c r="H68" s="101">
        <v>2467574</v>
      </c>
      <c r="I68" s="101">
        <v>2468577</v>
      </c>
      <c r="J68" s="104">
        <v>14689</v>
      </c>
      <c r="K68" s="105"/>
      <c r="L68" s="101"/>
      <c r="M68" s="101"/>
      <c r="N68" s="110" t="s">
        <v>181</v>
      </c>
      <c r="O68" s="111">
        <f>SUM(O66:O67)</f>
        <v>11173</v>
      </c>
      <c r="P68" s="101"/>
    </row>
    <row r="69" spans="2:16" ht="15.75" x14ac:dyDescent="0.25">
      <c r="B69" s="102">
        <v>46101</v>
      </c>
      <c r="C69" s="103">
        <v>12934</v>
      </c>
      <c r="D69" s="103" t="s">
        <v>50</v>
      </c>
      <c r="E69" s="103" t="s">
        <v>32</v>
      </c>
      <c r="F69" s="103">
        <v>1</v>
      </c>
      <c r="G69" s="103">
        <v>5713</v>
      </c>
      <c r="H69" s="101">
        <v>2468577</v>
      </c>
      <c r="I69" s="101">
        <v>2468578</v>
      </c>
      <c r="J69" s="104">
        <v>14688</v>
      </c>
      <c r="K69" s="105"/>
      <c r="L69" s="101"/>
      <c r="M69" s="101"/>
      <c r="N69" s="101"/>
      <c r="O69" s="101"/>
      <c r="P69" s="101"/>
    </row>
    <row r="70" spans="2:16" ht="15.75" x14ac:dyDescent="0.25">
      <c r="B70" s="102">
        <v>46101</v>
      </c>
      <c r="C70" s="103">
        <v>12935</v>
      </c>
      <c r="D70" s="103" t="s">
        <v>19</v>
      </c>
      <c r="E70" s="103" t="s">
        <v>35</v>
      </c>
      <c r="F70" s="103">
        <v>100</v>
      </c>
      <c r="G70" s="103">
        <v>35337</v>
      </c>
      <c r="H70" s="101">
        <v>2468578</v>
      </c>
      <c r="I70" s="101">
        <v>2468678</v>
      </c>
      <c r="J70" s="104">
        <v>14588</v>
      </c>
      <c r="K70" s="105"/>
      <c r="L70" s="101"/>
      <c r="M70" s="101"/>
      <c r="N70" s="139" t="s">
        <v>196</v>
      </c>
      <c r="O70" s="101"/>
      <c r="P70" s="101"/>
    </row>
    <row r="71" spans="2:16" ht="16.5" thickBot="1" x14ac:dyDescent="0.3">
      <c r="B71" s="102">
        <v>46101</v>
      </c>
      <c r="C71" s="103">
        <v>12936</v>
      </c>
      <c r="D71" s="103" t="s">
        <v>19</v>
      </c>
      <c r="E71" s="103" t="s">
        <v>43</v>
      </c>
      <c r="F71" s="103">
        <v>20</v>
      </c>
      <c r="G71" s="103">
        <v>441471</v>
      </c>
      <c r="H71" s="101">
        <v>2468678</v>
      </c>
      <c r="I71" s="101">
        <v>2468698</v>
      </c>
      <c r="J71" s="104">
        <v>14568</v>
      </c>
      <c r="K71" s="105"/>
      <c r="L71" s="101"/>
      <c r="M71" s="101"/>
      <c r="N71" s="140" t="s">
        <v>148</v>
      </c>
      <c r="O71" s="141"/>
    </row>
    <row r="72" spans="2:16" ht="16.5" thickBot="1" x14ac:dyDescent="0.3">
      <c r="B72" s="102">
        <v>46101</v>
      </c>
      <c r="C72" s="103">
        <v>12937</v>
      </c>
      <c r="D72" s="103" t="s">
        <v>19</v>
      </c>
      <c r="E72" s="103" t="s">
        <v>56</v>
      </c>
      <c r="F72" s="103">
        <v>100</v>
      </c>
      <c r="G72" s="103">
        <v>53969</v>
      </c>
      <c r="H72" s="101">
        <v>2468699</v>
      </c>
      <c r="I72" s="101">
        <v>2468799</v>
      </c>
      <c r="J72" s="104">
        <v>14468</v>
      </c>
      <c r="K72" s="105"/>
      <c r="L72" s="101"/>
      <c r="M72" s="101"/>
      <c r="N72" s="108" t="s">
        <v>197</v>
      </c>
      <c r="O72" s="114">
        <v>1127</v>
      </c>
    </row>
    <row r="73" spans="2:16" ht="15.75" x14ac:dyDescent="0.25">
      <c r="B73" s="102">
        <v>46101</v>
      </c>
      <c r="C73" s="103">
        <v>12938</v>
      </c>
      <c r="D73" s="103" t="s">
        <v>19</v>
      </c>
      <c r="E73" s="103" t="s">
        <v>53</v>
      </c>
      <c r="F73" s="103">
        <v>30</v>
      </c>
      <c r="G73" s="103">
        <v>36536</v>
      </c>
      <c r="H73" s="101">
        <v>2468799</v>
      </c>
      <c r="I73" s="101">
        <v>2468829</v>
      </c>
      <c r="J73" s="104">
        <v>14438</v>
      </c>
      <c r="K73" s="105" t="s">
        <v>198</v>
      </c>
      <c r="L73" s="101"/>
      <c r="M73" s="101"/>
    </row>
    <row r="74" spans="2:16" ht="16.5" thickBot="1" x14ac:dyDescent="0.3">
      <c r="B74" s="102">
        <v>46101</v>
      </c>
      <c r="C74" s="103">
        <v>12939</v>
      </c>
      <c r="D74" s="103" t="s">
        <v>19</v>
      </c>
      <c r="E74" s="103" t="s">
        <v>44</v>
      </c>
      <c r="F74" s="103">
        <v>2</v>
      </c>
      <c r="G74" s="103">
        <v>477518</v>
      </c>
      <c r="H74" s="101">
        <v>2468829</v>
      </c>
      <c r="I74" s="101">
        <v>2468831</v>
      </c>
      <c r="J74" s="104">
        <v>14436</v>
      </c>
      <c r="K74" s="105"/>
      <c r="L74" s="101"/>
      <c r="M74" s="101"/>
      <c r="N74" s="112" t="s">
        <v>183</v>
      </c>
      <c r="O74" s="113"/>
    </row>
    <row r="75" spans="2:16" ht="16.5" thickBot="1" x14ac:dyDescent="0.3">
      <c r="B75" s="102">
        <v>46101</v>
      </c>
      <c r="C75" s="103">
        <v>12940</v>
      </c>
      <c r="D75" s="103" t="s">
        <v>19</v>
      </c>
      <c r="E75" s="103" t="s">
        <v>55</v>
      </c>
      <c r="F75" s="103">
        <v>15</v>
      </c>
      <c r="G75" s="103">
        <v>780177</v>
      </c>
      <c r="H75" s="101">
        <v>2468834</v>
      </c>
      <c r="I75" s="101">
        <v>2468849</v>
      </c>
      <c r="J75" s="104">
        <v>14421</v>
      </c>
      <c r="K75" s="105"/>
      <c r="L75" s="101"/>
      <c r="M75" s="101"/>
      <c r="N75" s="142">
        <v>46094</v>
      </c>
      <c r="O75" s="114">
        <v>1094</v>
      </c>
      <c r="P75" s="101"/>
    </row>
    <row r="76" spans="2:16" ht="16.5" thickBot="1" x14ac:dyDescent="0.3">
      <c r="B76" s="102">
        <v>46101</v>
      </c>
      <c r="C76" s="103">
        <v>12941</v>
      </c>
      <c r="D76" s="103" t="s">
        <v>19</v>
      </c>
      <c r="E76" s="103" t="s">
        <v>39</v>
      </c>
      <c r="F76" s="103">
        <v>1</v>
      </c>
      <c r="G76" s="103">
        <v>24050</v>
      </c>
      <c r="H76" s="101">
        <v>2468850</v>
      </c>
      <c r="I76" s="101">
        <v>2468851</v>
      </c>
      <c r="J76" s="104">
        <v>14420</v>
      </c>
      <c r="K76" s="105"/>
      <c r="L76" s="101"/>
      <c r="M76" s="101"/>
      <c r="N76" s="142">
        <v>46098</v>
      </c>
      <c r="O76" s="114">
        <v>1206</v>
      </c>
      <c r="P76" s="101"/>
    </row>
    <row r="77" spans="2:16" ht="15.75" x14ac:dyDescent="0.25">
      <c r="B77" s="102">
        <v>46101</v>
      </c>
      <c r="C77" s="103">
        <v>12942</v>
      </c>
      <c r="D77" s="103" t="s">
        <v>19</v>
      </c>
      <c r="E77" s="103" t="s">
        <v>40</v>
      </c>
      <c r="F77" s="103">
        <v>5</v>
      </c>
      <c r="G77" s="103">
        <v>9116</v>
      </c>
      <c r="H77" s="101">
        <v>2468851</v>
      </c>
      <c r="I77" s="101">
        <v>2468856</v>
      </c>
      <c r="J77" s="104">
        <v>14415</v>
      </c>
      <c r="K77" s="105"/>
      <c r="L77" s="101"/>
      <c r="M77" s="101"/>
      <c r="N77" s="101"/>
      <c r="O77" s="101"/>
      <c r="P77" s="115"/>
    </row>
    <row r="78" spans="2:16" ht="15.75" x14ac:dyDescent="0.25">
      <c r="B78" s="102">
        <v>46101</v>
      </c>
      <c r="C78" s="103">
        <v>12943</v>
      </c>
      <c r="D78" s="103" t="s">
        <v>19</v>
      </c>
      <c r="E78" s="103" t="s">
        <v>54</v>
      </c>
      <c r="F78" s="103">
        <v>1</v>
      </c>
      <c r="G78" s="103">
        <v>469495</v>
      </c>
      <c r="H78" s="101">
        <v>2468856</v>
      </c>
      <c r="I78" s="101">
        <v>2468857</v>
      </c>
      <c r="J78" s="104">
        <v>14414</v>
      </c>
      <c r="K78" s="105"/>
      <c r="L78" s="101"/>
      <c r="M78" s="101"/>
      <c r="N78" s="101"/>
      <c r="O78" s="101"/>
      <c r="P78" s="101"/>
    </row>
    <row r="79" spans="2:16" ht="16.5" thickBot="1" x14ac:dyDescent="0.3">
      <c r="B79" s="102">
        <v>46101</v>
      </c>
      <c r="C79" s="103">
        <v>12944</v>
      </c>
      <c r="D79" s="103" t="s">
        <v>19</v>
      </c>
      <c r="E79" s="103" t="s">
        <v>57</v>
      </c>
      <c r="F79" s="103">
        <v>100</v>
      </c>
      <c r="G79" s="103">
        <v>432246</v>
      </c>
      <c r="H79" s="101">
        <v>2468858</v>
      </c>
      <c r="I79" s="101">
        <v>2468958</v>
      </c>
      <c r="J79" s="104">
        <v>14314</v>
      </c>
      <c r="K79" s="105"/>
      <c r="L79" s="101"/>
      <c r="M79" s="101"/>
      <c r="P79" s="115"/>
    </row>
    <row r="80" spans="2:16" ht="16.5" thickBot="1" x14ac:dyDescent="0.3">
      <c r="B80" s="102">
        <v>46101</v>
      </c>
      <c r="C80" s="103">
        <v>12945</v>
      </c>
      <c r="D80" s="103" t="s">
        <v>19</v>
      </c>
      <c r="E80" s="103" t="s">
        <v>36</v>
      </c>
      <c r="F80" s="103">
        <v>5</v>
      </c>
      <c r="G80" s="103">
        <v>503381</v>
      </c>
      <c r="H80" s="101">
        <v>2468958</v>
      </c>
      <c r="I80" s="101">
        <v>2468963</v>
      </c>
      <c r="J80" s="104">
        <v>14309</v>
      </c>
      <c r="K80" s="105"/>
      <c r="L80" s="116" t="s">
        <v>184</v>
      </c>
      <c r="M80" s="101"/>
      <c r="N80" s="101"/>
      <c r="O80" s="101"/>
      <c r="P80" s="101"/>
    </row>
    <row r="81" spans="2:16" ht="16.5" thickBot="1" x14ac:dyDescent="0.3">
      <c r="B81" s="130">
        <v>46101</v>
      </c>
      <c r="C81" s="143">
        <v>12946</v>
      </c>
      <c r="D81" s="143" t="s">
        <v>19</v>
      </c>
      <c r="E81" s="143" t="s">
        <v>41</v>
      </c>
      <c r="F81" s="143">
        <v>20</v>
      </c>
      <c r="G81" s="143">
        <v>31057</v>
      </c>
      <c r="H81" s="120">
        <v>2468963</v>
      </c>
      <c r="I81" s="120">
        <v>2468983</v>
      </c>
      <c r="J81" s="138">
        <v>14289</v>
      </c>
      <c r="K81" s="118"/>
      <c r="L81" s="119">
        <f>SUM(F66:F81)</f>
        <v>1563</v>
      </c>
      <c r="M81" s="120"/>
      <c r="N81" s="121" t="s">
        <v>199</v>
      </c>
      <c r="O81" s="122"/>
      <c r="P81" s="114">
        <f>L81+L65+L50+L37</f>
        <v>8858</v>
      </c>
    </row>
    <row r="82" spans="2:16" ht="16.5" thickBot="1" x14ac:dyDescent="0.3">
      <c r="B82" s="101"/>
      <c r="C82" s="101"/>
      <c r="D82" s="101"/>
      <c r="E82" s="101"/>
      <c r="F82" s="101"/>
      <c r="G82" s="101"/>
      <c r="H82" s="101"/>
      <c r="I82" s="101"/>
      <c r="J82" s="139"/>
      <c r="K82" s="101"/>
      <c r="L82" s="101"/>
      <c r="M82" s="101"/>
      <c r="N82" s="125" t="s">
        <v>200</v>
      </c>
      <c r="O82" s="126"/>
      <c r="P82" s="114">
        <f>O43-F42-F43-F44-F45-F46-F47-F48-F49-F50-L65-L81</f>
        <v>14289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F724-26F6-4354-BD90-E0346228C48E}">
  <sheetPr>
    <tabColor theme="3" tint="0.89999084444715716"/>
  </sheetPr>
  <dimension ref="B7:AB239"/>
  <sheetViews>
    <sheetView topLeftCell="L1" zoomScale="70" zoomScaleNormal="70" workbookViewId="0">
      <selection activeCell="AE10" sqref="AE10"/>
    </sheetView>
  </sheetViews>
  <sheetFormatPr baseColWidth="10" defaultRowHeight="15" x14ac:dyDescent="0.25"/>
  <cols>
    <col min="2" max="2" width="17.140625" customWidth="1"/>
    <col min="3" max="3" width="31.5703125" bestFit="1" customWidth="1"/>
    <col min="5" max="5" width="16.140625" bestFit="1" customWidth="1"/>
    <col min="7" max="7" width="20" customWidth="1"/>
    <col min="8" max="8" width="17.140625" bestFit="1" customWidth="1"/>
    <col min="9" max="9" width="19.42578125" bestFit="1" customWidth="1"/>
    <col min="10" max="10" width="16.5703125" customWidth="1"/>
    <col min="18" max="18" width="38.85546875" bestFit="1" customWidth="1"/>
    <col min="19" max="19" width="46.5703125" customWidth="1"/>
    <col min="20" max="20" width="15.5703125" bestFit="1" customWidth="1"/>
    <col min="21" max="22" width="15.7109375" bestFit="1" customWidth="1"/>
    <col min="23" max="23" width="14.140625" bestFit="1" customWidth="1"/>
    <col min="24" max="24" width="20.28515625" bestFit="1" customWidth="1"/>
    <col min="25" max="25" width="20.140625" bestFit="1" customWidth="1"/>
    <col min="26" max="26" width="16.85546875" bestFit="1" customWidth="1"/>
    <col min="27" max="27" width="21.140625" bestFit="1" customWidth="1"/>
    <col min="28" max="28" width="12.85546875" bestFit="1" customWidth="1"/>
  </cols>
  <sheetData>
    <row r="7" spans="2:28" ht="21" thickBot="1" x14ac:dyDescent="0.4"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</row>
    <row r="8" spans="2:28" ht="21" thickBot="1" x14ac:dyDescent="0.4">
      <c r="B8" s="267" t="s">
        <v>205</v>
      </c>
      <c r="C8" s="267" t="s">
        <v>206</v>
      </c>
      <c r="D8" s="267" t="s">
        <v>23</v>
      </c>
      <c r="E8" s="268" t="s">
        <v>207</v>
      </c>
      <c r="F8" s="267" t="s">
        <v>208</v>
      </c>
      <c r="G8" s="269" t="s">
        <v>209</v>
      </c>
      <c r="H8" s="267" t="s">
        <v>244</v>
      </c>
      <c r="I8" s="267" t="s">
        <v>210</v>
      </c>
      <c r="J8" s="267" t="s">
        <v>211</v>
      </c>
      <c r="R8" s="160"/>
      <c r="S8" s="160" t="s">
        <v>2</v>
      </c>
      <c r="T8" s="272" t="s">
        <v>245</v>
      </c>
      <c r="U8" s="273"/>
      <c r="V8" s="273"/>
      <c r="W8" s="273"/>
      <c r="X8" s="273"/>
      <c r="Y8" s="273"/>
      <c r="Z8" s="273"/>
      <c r="AA8" s="273"/>
      <c r="AB8" s="274"/>
    </row>
    <row r="9" spans="2:28" ht="21" thickBot="1" x14ac:dyDescent="0.4">
      <c r="B9" s="148"/>
      <c r="C9" s="149" t="s">
        <v>201</v>
      </c>
      <c r="D9" s="150">
        <v>0.69097222222222221</v>
      </c>
      <c r="E9" s="151">
        <v>46092</v>
      </c>
      <c r="F9" s="149">
        <v>215</v>
      </c>
      <c r="G9" s="152">
        <v>33662</v>
      </c>
      <c r="H9" s="149"/>
      <c r="I9" s="153"/>
      <c r="J9" s="149">
        <v>12686</v>
      </c>
      <c r="K9" s="173" t="s">
        <v>212</v>
      </c>
      <c r="L9" s="173"/>
      <c r="M9" s="173"/>
      <c r="R9" s="275" t="s">
        <v>28</v>
      </c>
      <c r="S9" s="275" t="s">
        <v>246</v>
      </c>
      <c r="T9" s="276" t="s">
        <v>247</v>
      </c>
      <c r="U9" s="275" t="s">
        <v>248</v>
      </c>
      <c r="V9" s="277" t="s">
        <v>208</v>
      </c>
      <c r="W9" s="278" t="s">
        <v>249</v>
      </c>
      <c r="X9" s="275" t="s">
        <v>210</v>
      </c>
      <c r="Y9" s="279" t="s">
        <v>250</v>
      </c>
      <c r="Z9" s="275" t="s">
        <v>251</v>
      </c>
      <c r="AA9" s="280" t="s">
        <v>252</v>
      </c>
      <c r="AB9" s="281" t="s">
        <v>253</v>
      </c>
    </row>
    <row r="10" spans="2:28" ht="20.25" x14ac:dyDescent="0.35">
      <c r="B10" s="154" t="s">
        <v>35</v>
      </c>
      <c r="C10" s="155" t="s">
        <v>201</v>
      </c>
      <c r="D10" s="156">
        <v>0.54861111111111116</v>
      </c>
      <c r="E10" s="157">
        <v>46095</v>
      </c>
      <c r="F10" s="155">
        <v>100</v>
      </c>
      <c r="G10" s="158">
        <v>34326</v>
      </c>
      <c r="H10" s="155">
        <f t="shared" ref="H9:H18" si="0">G10-G9</f>
        <v>664</v>
      </c>
      <c r="I10" s="159">
        <f t="shared" ref="I9:I18" si="1">(G10-G9)/F9</f>
        <v>3.0883720930232559</v>
      </c>
      <c r="J10" s="155">
        <v>12895</v>
      </c>
      <c r="R10" s="282"/>
      <c r="S10" s="282" t="s">
        <v>254</v>
      </c>
      <c r="T10" s="283" t="s">
        <v>255</v>
      </c>
      <c r="U10" s="284"/>
      <c r="V10" s="285">
        <v>0</v>
      </c>
      <c r="W10" s="286">
        <v>300</v>
      </c>
      <c r="X10" s="287" t="e">
        <f t="shared" ref="X10:X35" si="2">U10/V10</f>
        <v>#DIV/0!</v>
      </c>
      <c r="Y10" s="288">
        <v>3.91</v>
      </c>
      <c r="Z10" s="289" t="e">
        <f>X10-Y10</f>
        <v>#DIV/0!</v>
      </c>
      <c r="AA10" s="290">
        <f>Y10*(100%-5%)</f>
        <v>3.7145000000000001</v>
      </c>
      <c r="AB10" s="291" t="e">
        <f>+W10-Z10</f>
        <v>#DIV/0!</v>
      </c>
    </row>
    <row r="11" spans="2:28" ht="20.25" x14ac:dyDescent="0.35">
      <c r="B11" s="148"/>
      <c r="C11" s="155" t="s">
        <v>201</v>
      </c>
      <c r="D11" s="156">
        <v>0.69444444444444442</v>
      </c>
      <c r="E11" s="157">
        <v>46098</v>
      </c>
      <c r="F11" s="155">
        <v>100</v>
      </c>
      <c r="G11" s="158">
        <v>34579</v>
      </c>
      <c r="H11" s="155">
        <f t="shared" si="0"/>
        <v>253</v>
      </c>
      <c r="I11" s="159">
        <f t="shared" si="1"/>
        <v>2.5299999999999998</v>
      </c>
      <c r="J11" s="155">
        <v>11789</v>
      </c>
      <c r="R11" s="292"/>
      <c r="S11" s="282" t="s">
        <v>254</v>
      </c>
      <c r="T11" s="293" t="s">
        <v>78</v>
      </c>
      <c r="U11" s="284"/>
      <c r="V11" s="294">
        <v>0</v>
      </c>
      <c r="W11" s="295">
        <v>300</v>
      </c>
      <c r="X11" s="296" t="e">
        <f t="shared" si="2"/>
        <v>#DIV/0!</v>
      </c>
      <c r="Y11" s="296">
        <v>5.03</v>
      </c>
      <c r="Z11" s="297" t="e">
        <f>X11-Y11</f>
        <v>#DIV/0!</v>
      </c>
      <c r="AA11" s="298">
        <f>Y11*(100%-5%)</f>
        <v>4.7785000000000002</v>
      </c>
      <c r="AB11" s="299" t="e">
        <f>+X11-AA11</f>
        <v>#DIV/0!</v>
      </c>
    </row>
    <row r="12" spans="2:28" ht="20.25" x14ac:dyDescent="0.35">
      <c r="B12" s="148"/>
      <c r="C12" s="155" t="s">
        <v>201</v>
      </c>
      <c r="D12" s="156">
        <v>0.78194444444444444</v>
      </c>
      <c r="E12" s="157">
        <v>46099</v>
      </c>
      <c r="F12" s="155">
        <v>200</v>
      </c>
      <c r="G12" s="158">
        <v>34815</v>
      </c>
      <c r="H12" s="155">
        <f t="shared" si="0"/>
        <v>236</v>
      </c>
      <c r="I12" s="159">
        <f t="shared" si="1"/>
        <v>2.36</v>
      </c>
      <c r="J12" s="155">
        <v>12913</v>
      </c>
      <c r="R12" s="292" t="s">
        <v>256</v>
      </c>
      <c r="S12" s="300"/>
      <c r="T12" s="301" t="s">
        <v>35</v>
      </c>
      <c r="U12" s="302">
        <v>1675</v>
      </c>
      <c r="V12" s="303">
        <v>500</v>
      </c>
      <c r="W12" s="304">
        <v>550</v>
      </c>
      <c r="X12" s="305">
        <f t="shared" si="2"/>
        <v>3.35</v>
      </c>
      <c r="Y12" s="305">
        <v>2.64</v>
      </c>
      <c r="Z12" s="306">
        <f t="shared" ref="Z12:Z35" si="3">X12-Y12</f>
        <v>0.71</v>
      </c>
      <c r="AA12" s="307">
        <f t="shared" ref="AA12:AA35" si="4">Y12*(100%-5%)</f>
        <v>2.508</v>
      </c>
      <c r="AB12" s="308">
        <f t="shared" ref="AB12:AB35" si="5">+X12-AA12</f>
        <v>0.84200000000000008</v>
      </c>
    </row>
    <row r="13" spans="2:28" ht="20.25" x14ac:dyDescent="0.35">
      <c r="B13" s="148"/>
      <c r="C13" s="155" t="s">
        <v>201</v>
      </c>
      <c r="D13" s="156">
        <v>0.67777777777777781</v>
      </c>
      <c r="E13" s="157">
        <v>46101</v>
      </c>
      <c r="F13" s="155">
        <v>100</v>
      </c>
      <c r="G13" s="158">
        <v>35337</v>
      </c>
      <c r="H13" s="155">
        <f t="shared" si="0"/>
        <v>522</v>
      </c>
      <c r="I13" s="159">
        <f t="shared" si="1"/>
        <v>2.61</v>
      </c>
      <c r="J13" s="155">
        <v>12935</v>
      </c>
      <c r="R13" s="292" t="s">
        <v>257</v>
      </c>
      <c r="S13" s="292"/>
      <c r="T13" s="301" t="s">
        <v>43</v>
      </c>
      <c r="U13" s="302">
        <v>1139</v>
      </c>
      <c r="V13" s="303">
        <v>400</v>
      </c>
      <c r="W13" s="304">
        <v>550</v>
      </c>
      <c r="X13" s="305">
        <f t="shared" si="2"/>
        <v>2.8475000000000001</v>
      </c>
      <c r="Y13" s="305">
        <v>2.48</v>
      </c>
      <c r="Z13" s="306">
        <f t="shared" si="3"/>
        <v>0.36750000000000016</v>
      </c>
      <c r="AA13" s="307">
        <f t="shared" si="4"/>
        <v>2.3559999999999999</v>
      </c>
      <c r="AB13" s="308">
        <f t="shared" si="5"/>
        <v>0.49150000000000027</v>
      </c>
    </row>
    <row r="14" spans="2:28" ht="20.25" x14ac:dyDescent="0.35">
      <c r="B14" s="148"/>
      <c r="C14" s="160"/>
      <c r="D14" s="161"/>
      <c r="E14" s="162"/>
      <c r="F14" s="163">
        <f>SUM(F10:F13)</f>
        <v>500</v>
      </c>
      <c r="G14" s="164">
        <f>G13-G9</f>
        <v>1675</v>
      </c>
      <c r="H14" s="165"/>
      <c r="I14" s="165"/>
      <c r="J14" s="165"/>
      <c r="R14" s="292" t="s">
        <v>214</v>
      </c>
      <c r="S14" s="292"/>
      <c r="T14" s="301" t="s">
        <v>47</v>
      </c>
      <c r="U14" s="302">
        <v>1147</v>
      </c>
      <c r="V14" s="303">
        <v>423</v>
      </c>
      <c r="W14" s="304">
        <v>550</v>
      </c>
      <c r="X14" s="305">
        <f t="shared" si="2"/>
        <v>2.7115839243498816</v>
      </c>
      <c r="Y14" s="305">
        <v>2.84</v>
      </c>
      <c r="Z14" s="306">
        <f t="shared" si="3"/>
        <v>-0.12841607565011826</v>
      </c>
      <c r="AA14" s="307">
        <f t="shared" si="4"/>
        <v>2.698</v>
      </c>
      <c r="AB14" s="308">
        <f t="shared" si="5"/>
        <v>1.3583924349881649E-2</v>
      </c>
    </row>
    <row r="15" spans="2:28" ht="20.25" x14ac:dyDescent="0.35">
      <c r="B15" s="166"/>
      <c r="C15" s="167" t="s">
        <v>202</v>
      </c>
      <c r="D15" s="165"/>
      <c r="E15" s="168"/>
      <c r="F15" s="169" t="s">
        <v>203</v>
      </c>
      <c r="G15" s="170">
        <f>+G14/F14</f>
        <v>3.35</v>
      </c>
      <c r="H15" s="165"/>
      <c r="I15" s="165"/>
      <c r="J15" s="165"/>
      <c r="R15" s="292"/>
      <c r="S15" s="282" t="s">
        <v>254</v>
      </c>
      <c r="T15" s="293" t="s">
        <v>258</v>
      </c>
      <c r="U15" s="284"/>
      <c r="V15" s="309">
        <v>0</v>
      </c>
      <c r="W15" s="295">
        <v>550</v>
      </c>
      <c r="X15" s="296" t="e">
        <f t="shared" si="2"/>
        <v>#DIV/0!</v>
      </c>
      <c r="Y15" s="296">
        <v>2.4900000000000002</v>
      </c>
      <c r="Z15" s="297" t="e">
        <f t="shared" si="3"/>
        <v>#DIV/0!</v>
      </c>
      <c r="AA15" s="298">
        <f t="shared" si="4"/>
        <v>2.3654999999999999</v>
      </c>
      <c r="AB15" s="299" t="e">
        <f t="shared" si="5"/>
        <v>#DIV/0!</v>
      </c>
    </row>
    <row r="16" spans="2:28" ht="20.25" x14ac:dyDescent="0.35">
      <c r="B16" s="166"/>
      <c r="C16" s="152">
        <f>C18+21000</f>
        <v>54383</v>
      </c>
      <c r="E16" s="168"/>
      <c r="F16" s="165"/>
      <c r="G16" s="165"/>
      <c r="H16" s="165"/>
      <c r="I16" s="165"/>
      <c r="J16" s="165"/>
      <c r="R16" s="292"/>
      <c r="S16" s="282" t="s">
        <v>254</v>
      </c>
      <c r="T16" s="293" t="s">
        <v>259</v>
      </c>
      <c r="U16" s="284"/>
      <c r="V16" s="309">
        <v>0</v>
      </c>
      <c r="W16" s="295">
        <v>550</v>
      </c>
      <c r="X16" s="296" t="e">
        <f t="shared" si="2"/>
        <v>#DIV/0!</v>
      </c>
      <c r="Y16" s="296">
        <v>2.88</v>
      </c>
      <c r="Z16" s="297" t="e">
        <f t="shared" si="3"/>
        <v>#DIV/0!</v>
      </c>
      <c r="AA16" s="298">
        <f t="shared" si="4"/>
        <v>2.7359999999999998</v>
      </c>
      <c r="AB16" s="299" t="e">
        <f t="shared" si="5"/>
        <v>#DIV/0!</v>
      </c>
    </row>
    <row r="17" spans="2:28" ht="20.25" x14ac:dyDescent="0.35">
      <c r="B17" s="166"/>
      <c r="C17" s="171" t="s">
        <v>204</v>
      </c>
      <c r="E17" s="168"/>
      <c r="F17" s="165"/>
      <c r="G17" s="172"/>
      <c r="H17" s="165"/>
      <c r="I17" s="165"/>
      <c r="J17" s="165"/>
      <c r="R17" s="292" t="s">
        <v>260</v>
      </c>
      <c r="S17" s="292"/>
      <c r="T17" s="310" t="s">
        <v>44</v>
      </c>
      <c r="U17" s="311">
        <v>751</v>
      </c>
      <c r="V17" s="312">
        <v>249</v>
      </c>
      <c r="W17" s="313">
        <v>550</v>
      </c>
      <c r="X17" s="314">
        <f t="shared" si="2"/>
        <v>3.0160642570281126</v>
      </c>
      <c r="Y17" s="314">
        <v>4</v>
      </c>
      <c r="Z17" s="315">
        <f t="shared" si="3"/>
        <v>-0.98393574297188735</v>
      </c>
      <c r="AA17" s="316">
        <f t="shared" si="4"/>
        <v>3.8</v>
      </c>
      <c r="AB17" s="317">
        <f t="shared" si="5"/>
        <v>-0.78393574297188717</v>
      </c>
    </row>
    <row r="18" spans="2:28" ht="20.25" x14ac:dyDescent="0.35">
      <c r="B18" s="166"/>
      <c r="C18" s="152">
        <v>33383</v>
      </c>
      <c r="D18" s="165"/>
      <c r="E18" s="168"/>
      <c r="F18" s="165"/>
      <c r="G18" s="172"/>
      <c r="H18" s="165"/>
      <c r="I18" s="165"/>
      <c r="J18" s="165"/>
      <c r="R18" s="292" t="s">
        <v>219</v>
      </c>
      <c r="S18" s="300"/>
      <c r="T18" s="310" t="s">
        <v>54</v>
      </c>
      <c r="U18" s="311">
        <v>1199</v>
      </c>
      <c r="V18" s="312">
        <v>343</v>
      </c>
      <c r="W18" s="313">
        <v>550</v>
      </c>
      <c r="X18" s="314">
        <f t="shared" si="2"/>
        <v>3.4956268221574343</v>
      </c>
      <c r="Y18" s="314">
        <v>3.78</v>
      </c>
      <c r="Z18" s="315">
        <f t="shared" si="3"/>
        <v>-0.28437317784256555</v>
      </c>
      <c r="AA18" s="316">
        <f t="shared" si="4"/>
        <v>3.5909999999999997</v>
      </c>
      <c r="AB18" s="317">
        <f t="shared" si="5"/>
        <v>-9.5373177842565493E-2</v>
      </c>
    </row>
    <row r="19" spans="2:28" ht="21" thickBot="1" x14ac:dyDescent="0.4">
      <c r="R19" s="292" t="s">
        <v>261</v>
      </c>
      <c r="S19" s="300"/>
      <c r="T19" s="310" t="s">
        <v>53</v>
      </c>
      <c r="U19" s="311">
        <v>1097</v>
      </c>
      <c r="V19" s="312">
        <v>470</v>
      </c>
      <c r="W19" s="313">
        <v>550</v>
      </c>
      <c r="X19" s="314">
        <f t="shared" si="2"/>
        <v>2.3340425531914892</v>
      </c>
      <c r="Y19" s="314">
        <v>2.97</v>
      </c>
      <c r="Z19" s="315">
        <f t="shared" si="3"/>
        <v>-0.63595744680851096</v>
      </c>
      <c r="AA19" s="316">
        <f t="shared" si="4"/>
        <v>2.8214999999999999</v>
      </c>
      <c r="AB19" s="317">
        <f t="shared" si="5"/>
        <v>-0.48745744680851066</v>
      </c>
    </row>
    <row r="20" spans="2:28" ht="20.25" x14ac:dyDescent="0.35">
      <c r="B20" s="267" t="s">
        <v>205</v>
      </c>
      <c r="C20" s="267" t="s">
        <v>206</v>
      </c>
      <c r="D20" s="267" t="s">
        <v>23</v>
      </c>
      <c r="E20" s="268" t="s">
        <v>207</v>
      </c>
      <c r="F20" s="267" t="s">
        <v>208</v>
      </c>
      <c r="G20" s="269" t="s">
        <v>209</v>
      </c>
      <c r="H20" s="267" t="s">
        <v>244</v>
      </c>
      <c r="I20" s="267" t="s">
        <v>210</v>
      </c>
      <c r="J20" s="267" t="s">
        <v>211</v>
      </c>
      <c r="R20" s="292" t="s">
        <v>223</v>
      </c>
      <c r="S20" s="300" t="s">
        <v>262</v>
      </c>
      <c r="T20" s="293" t="s">
        <v>39</v>
      </c>
      <c r="U20" s="284">
        <v>824</v>
      </c>
      <c r="V20" s="309">
        <v>547</v>
      </c>
      <c r="W20" s="295">
        <v>550</v>
      </c>
      <c r="X20" s="296">
        <f t="shared" si="2"/>
        <v>1.506398537477148</v>
      </c>
      <c r="Y20" s="318">
        <v>2.17</v>
      </c>
      <c r="Z20" s="297">
        <f t="shared" si="3"/>
        <v>-0.6636014625228519</v>
      </c>
      <c r="AA20" s="298">
        <f t="shared" si="4"/>
        <v>2.0614999999999997</v>
      </c>
      <c r="AB20" s="299">
        <f t="shared" si="5"/>
        <v>-0.55510146252285164</v>
      </c>
    </row>
    <row r="21" spans="2:28" ht="20.25" x14ac:dyDescent="0.35">
      <c r="B21" s="174"/>
      <c r="C21" s="175" t="s">
        <v>213</v>
      </c>
      <c r="D21" s="150">
        <v>0.70694444444444449</v>
      </c>
      <c r="E21" s="151">
        <v>46094</v>
      </c>
      <c r="F21" s="149">
        <v>20</v>
      </c>
      <c r="G21" s="152">
        <v>440332</v>
      </c>
      <c r="H21" s="149"/>
      <c r="I21" s="153"/>
      <c r="J21" s="149">
        <v>12876</v>
      </c>
      <c r="K21" s="173" t="s">
        <v>212</v>
      </c>
      <c r="L21" s="173"/>
      <c r="M21" s="173"/>
      <c r="R21" s="292" t="s">
        <v>263</v>
      </c>
      <c r="S21" s="282"/>
      <c r="T21" s="301" t="s">
        <v>41</v>
      </c>
      <c r="U21" s="302">
        <v>1099</v>
      </c>
      <c r="V21" s="303">
        <v>440</v>
      </c>
      <c r="W21" s="304">
        <v>550</v>
      </c>
      <c r="X21" s="305">
        <f t="shared" si="2"/>
        <v>2.4977272727272726</v>
      </c>
      <c r="Y21" s="305">
        <v>2.46</v>
      </c>
      <c r="Z21" s="306">
        <f t="shared" si="3"/>
        <v>3.7727272727272609E-2</v>
      </c>
      <c r="AA21" s="307">
        <f t="shared" si="4"/>
        <v>2.3369999999999997</v>
      </c>
      <c r="AB21" s="308">
        <f t="shared" si="5"/>
        <v>0.16072727272727283</v>
      </c>
    </row>
    <row r="22" spans="2:28" ht="20.25" x14ac:dyDescent="0.35">
      <c r="B22" s="154" t="s">
        <v>43</v>
      </c>
      <c r="C22" s="176" t="s">
        <v>213</v>
      </c>
      <c r="D22" s="156">
        <v>0.55208333333333337</v>
      </c>
      <c r="E22" s="157">
        <v>46095</v>
      </c>
      <c r="F22" s="155">
        <v>100</v>
      </c>
      <c r="G22" s="158">
        <v>440479</v>
      </c>
      <c r="H22" s="177">
        <f>G22-G21</f>
        <v>147</v>
      </c>
      <c r="I22" s="178">
        <f>(G22-G21)/F21</f>
        <v>7.35</v>
      </c>
      <c r="J22" s="155">
        <v>12896</v>
      </c>
      <c r="R22" s="292" t="s">
        <v>264</v>
      </c>
      <c r="S22" s="300"/>
      <c r="T22" s="310" t="s">
        <v>36</v>
      </c>
      <c r="U22" s="311">
        <v>926</v>
      </c>
      <c r="V22" s="312">
        <v>355</v>
      </c>
      <c r="W22" s="313">
        <v>600</v>
      </c>
      <c r="X22" s="314">
        <f t="shared" si="2"/>
        <v>2.6084507042253522</v>
      </c>
      <c r="Y22" s="314">
        <v>2.8</v>
      </c>
      <c r="Z22" s="315">
        <f t="shared" si="3"/>
        <v>-0.19154929577464763</v>
      </c>
      <c r="AA22" s="316">
        <f t="shared" si="4"/>
        <v>2.6599999999999997</v>
      </c>
      <c r="AB22" s="317">
        <f t="shared" si="5"/>
        <v>-5.1549295774647508E-2</v>
      </c>
    </row>
    <row r="23" spans="2:28" ht="20.25" x14ac:dyDescent="0.35">
      <c r="B23" s="174"/>
      <c r="C23" s="176" t="s">
        <v>213</v>
      </c>
      <c r="D23" s="156">
        <v>0.74861111111111112</v>
      </c>
      <c r="E23" s="157">
        <v>46098</v>
      </c>
      <c r="F23" s="155">
        <v>100</v>
      </c>
      <c r="G23" s="158">
        <v>440675</v>
      </c>
      <c r="H23" s="177">
        <f>G23-G22</f>
        <v>196</v>
      </c>
      <c r="I23" s="178">
        <f>(G23-G22)/F22</f>
        <v>1.96</v>
      </c>
      <c r="J23" s="179">
        <v>11797</v>
      </c>
      <c r="R23" s="292" t="s">
        <v>176</v>
      </c>
      <c r="S23" s="319" t="s">
        <v>265</v>
      </c>
      <c r="T23" s="310" t="s">
        <v>103</v>
      </c>
      <c r="U23" s="311">
        <v>888</v>
      </c>
      <c r="V23" s="312">
        <v>380</v>
      </c>
      <c r="W23" s="313">
        <v>550</v>
      </c>
      <c r="X23" s="314">
        <f t="shared" si="2"/>
        <v>2.3368421052631581</v>
      </c>
      <c r="Y23" s="314">
        <v>2.4700000000000002</v>
      </c>
      <c r="Z23" s="315">
        <f t="shared" si="3"/>
        <v>-0.13315789473684214</v>
      </c>
      <c r="AA23" s="316">
        <f t="shared" si="4"/>
        <v>2.3465000000000003</v>
      </c>
      <c r="AB23" s="317">
        <f t="shared" si="5"/>
        <v>-9.6578947368421986E-3</v>
      </c>
    </row>
    <row r="24" spans="2:28" ht="20.25" x14ac:dyDescent="0.35">
      <c r="B24" s="174"/>
      <c r="C24" s="176" t="s">
        <v>213</v>
      </c>
      <c r="D24" s="156">
        <v>0.77430555555555558</v>
      </c>
      <c r="E24" s="157">
        <v>46099</v>
      </c>
      <c r="F24" s="155">
        <v>80</v>
      </c>
      <c r="G24" s="158">
        <v>440931</v>
      </c>
      <c r="H24" s="177">
        <f>G24-G23</f>
        <v>256</v>
      </c>
      <c r="I24" s="178">
        <f>(G24-G23)/F23</f>
        <v>2.56</v>
      </c>
      <c r="J24" s="155">
        <v>12912</v>
      </c>
      <c r="R24" s="292" t="s">
        <v>125</v>
      </c>
      <c r="S24" s="300" t="s">
        <v>262</v>
      </c>
      <c r="T24" s="293" t="s">
        <v>72</v>
      </c>
      <c r="U24" s="284">
        <v>669</v>
      </c>
      <c r="V24" s="309">
        <v>505</v>
      </c>
      <c r="W24" s="295">
        <v>600</v>
      </c>
      <c r="X24" s="296">
        <f t="shared" si="2"/>
        <v>1.3247524752475248</v>
      </c>
      <c r="Y24" s="296">
        <v>2.2999999999999998</v>
      </c>
      <c r="Z24" s="297">
        <f t="shared" si="3"/>
        <v>-0.975247524752475</v>
      </c>
      <c r="AA24" s="298">
        <f t="shared" si="4"/>
        <v>2.1849999999999996</v>
      </c>
      <c r="AB24" s="320">
        <f t="shared" si="5"/>
        <v>-0.86024752475247479</v>
      </c>
    </row>
    <row r="25" spans="2:28" ht="20.25" x14ac:dyDescent="0.35">
      <c r="B25" s="174"/>
      <c r="C25" s="176" t="s">
        <v>213</v>
      </c>
      <c r="D25" s="156">
        <v>0.73958333333333337</v>
      </c>
      <c r="E25" s="157">
        <v>46100</v>
      </c>
      <c r="F25" s="155">
        <v>100</v>
      </c>
      <c r="G25" s="158">
        <v>441210</v>
      </c>
      <c r="H25" s="177">
        <f>G25-G24</f>
        <v>279</v>
      </c>
      <c r="I25" s="178">
        <f>(G25-G24)/F24</f>
        <v>3.4874999999999998</v>
      </c>
      <c r="J25" s="155">
        <v>12925</v>
      </c>
      <c r="R25" s="292" t="s">
        <v>266</v>
      </c>
      <c r="S25" s="300"/>
      <c r="T25" s="310" t="s">
        <v>32</v>
      </c>
      <c r="U25" s="311">
        <v>963</v>
      </c>
      <c r="V25" s="312">
        <v>401</v>
      </c>
      <c r="W25" s="313">
        <v>550</v>
      </c>
      <c r="X25" s="314">
        <f t="shared" si="2"/>
        <v>2.4014962593516209</v>
      </c>
      <c r="Y25" s="314">
        <v>2.56</v>
      </c>
      <c r="Z25" s="315">
        <f t="shared" si="3"/>
        <v>-0.15850374064837913</v>
      </c>
      <c r="AA25" s="316">
        <f t="shared" si="4"/>
        <v>2.4319999999999999</v>
      </c>
      <c r="AB25" s="317">
        <f t="shared" si="5"/>
        <v>-3.0503740648379019E-2</v>
      </c>
    </row>
    <row r="26" spans="2:28" ht="20.25" x14ac:dyDescent="0.35">
      <c r="B26" s="174"/>
      <c r="C26" s="176" t="s">
        <v>213</v>
      </c>
      <c r="D26" s="156">
        <v>0.68402777777777779</v>
      </c>
      <c r="E26" s="157">
        <v>46101</v>
      </c>
      <c r="F26" s="155">
        <v>20</v>
      </c>
      <c r="G26" s="158">
        <v>441471</v>
      </c>
      <c r="H26" s="177">
        <f>G26-G24</f>
        <v>540</v>
      </c>
      <c r="I26" s="178">
        <f>(G26-G24)/F24</f>
        <v>6.75</v>
      </c>
      <c r="J26" s="155">
        <v>12936</v>
      </c>
      <c r="R26" s="321" t="s">
        <v>267</v>
      </c>
      <c r="S26" s="322"/>
      <c r="T26" s="301" t="s">
        <v>33</v>
      </c>
      <c r="U26" s="302">
        <v>967</v>
      </c>
      <c r="V26" s="303">
        <v>430</v>
      </c>
      <c r="W26" s="304">
        <v>600</v>
      </c>
      <c r="X26" s="305">
        <f t="shared" si="2"/>
        <v>2.2488372093023257</v>
      </c>
      <c r="Y26" s="305">
        <v>2.3199999999999998</v>
      </c>
      <c r="Z26" s="306">
        <f t="shared" si="3"/>
        <v>-7.1162790697674172E-2</v>
      </c>
      <c r="AA26" s="307">
        <f t="shared" si="4"/>
        <v>2.2039999999999997</v>
      </c>
      <c r="AB26" s="308">
        <f t="shared" si="5"/>
        <v>4.4837209302325931E-2</v>
      </c>
    </row>
    <row r="27" spans="2:28" ht="20.25" x14ac:dyDescent="0.35">
      <c r="B27" s="166"/>
      <c r="C27" s="165"/>
      <c r="D27" s="165"/>
      <c r="E27" s="168"/>
      <c r="F27" s="163">
        <f>SUM(F22:F26)</f>
        <v>400</v>
      </c>
      <c r="G27" s="164">
        <f>G26-G21</f>
        <v>1139</v>
      </c>
      <c r="H27" s="165"/>
      <c r="I27" s="165"/>
      <c r="J27" s="165"/>
      <c r="R27" s="292" t="s">
        <v>268</v>
      </c>
      <c r="S27" s="292"/>
      <c r="T27" s="310" t="s">
        <v>82</v>
      </c>
      <c r="U27" s="311">
        <v>0</v>
      </c>
      <c r="V27" s="312">
        <v>100</v>
      </c>
      <c r="W27" s="313">
        <v>550</v>
      </c>
      <c r="X27" s="314">
        <f t="shared" si="2"/>
        <v>0</v>
      </c>
      <c r="Y27" s="314">
        <v>3</v>
      </c>
      <c r="Z27" s="315">
        <f t="shared" si="3"/>
        <v>-3</v>
      </c>
      <c r="AA27" s="316">
        <f t="shared" si="4"/>
        <v>2.8499999999999996</v>
      </c>
      <c r="AB27" s="317">
        <f t="shared" si="5"/>
        <v>-2.8499999999999996</v>
      </c>
    </row>
    <row r="28" spans="2:28" ht="20.25" x14ac:dyDescent="0.35">
      <c r="B28" s="166"/>
      <c r="C28" s="165"/>
      <c r="D28" s="165"/>
      <c r="E28" s="168"/>
      <c r="F28" s="169" t="s">
        <v>203</v>
      </c>
      <c r="G28" s="170">
        <f>+G27/F27</f>
        <v>2.8475000000000001</v>
      </c>
      <c r="H28" s="165"/>
      <c r="I28" s="165"/>
      <c r="J28" s="165"/>
      <c r="R28" s="292" t="s">
        <v>269</v>
      </c>
      <c r="S28" s="282"/>
      <c r="T28" s="301" t="s">
        <v>55</v>
      </c>
      <c r="U28" s="302">
        <v>1118</v>
      </c>
      <c r="V28" s="303">
        <v>515</v>
      </c>
      <c r="W28" s="304">
        <v>550</v>
      </c>
      <c r="X28" s="305">
        <f t="shared" si="2"/>
        <v>2.1708737864077672</v>
      </c>
      <c r="Y28" s="305">
        <v>2.2599999999999998</v>
      </c>
      <c r="Z28" s="306">
        <f t="shared" si="3"/>
        <v>-8.9126213592232606E-2</v>
      </c>
      <c r="AA28" s="307">
        <f t="shared" si="4"/>
        <v>2.1469999999999998</v>
      </c>
      <c r="AB28" s="308">
        <f t="shared" si="5"/>
        <v>2.3873786407767383E-2</v>
      </c>
    </row>
    <row r="29" spans="2:28" ht="21" thickBot="1" x14ac:dyDescent="0.4">
      <c r="R29" s="292" t="s">
        <v>270</v>
      </c>
      <c r="S29" s="300"/>
      <c r="T29" s="301" t="s">
        <v>57</v>
      </c>
      <c r="U29" s="302">
        <v>1105</v>
      </c>
      <c r="V29" s="303">
        <v>450</v>
      </c>
      <c r="W29" s="304">
        <v>600</v>
      </c>
      <c r="X29" s="305">
        <f t="shared" si="2"/>
        <v>2.4555555555555557</v>
      </c>
      <c r="Y29" s="305">
        <v>2.41</v>
      </c>
      <c r="Z29" s="306">
        <f t="shared" si="3"/>
        <v>4.5555555555555571E-2</v>
      </c>
      <c r="AA29" s="307">
        <f t="shared" si="4"/>
        <v>2.2894999999999999</v>
      </c>
      <c r="AB29" s="308">
        <f t="shared" si="5"/>
        <v>0.16605555555555584</v>
      </c>
    </row>
    <row r="30" spans="2:28" ht="20.25" x14ac:dyDescent="0.35">
      <c r="B30" s="267" t="s">
        <v>205</v>
      </c>
      <c r="C30" s="267" t="s">
        <v>206</v>
      </c>
      <c r="D30" s="267" t="s">
        <v>23</v>
      </c>
      <c r="E30" s="268" t="s">
        <v>207</v>
      </c>
      <c r="F30" s="267" t="s">
        <v>208</v>
      </c>
      <c r="G30" s="269" t="s">
        <v>209</v>
      </c>
      <c r="H30" s="267" t="s">
        <v>244</v>
      </c>
      <c r="I30" s="267" t="s">
        <v>210</v>
      </c>
      <c r="J30" s="267" t="s">
        <v>211</v>
      </c>
      <c r="R30" s="292" t="s">
        <v>271</v>
      </c>
      <c r="S30" s="319" t="s">
        <v>272</v>
      </c>
      <c r="T30" s="301" t="s">
        <v>56</v>
      </c>
      <c r="U30" s="302">
        <v>1092</v>
      </c>
      <c r="V30" s="303">
        <v>400</v>
      </c>
      <c r="W30" s="304">
        <v>550</v>
      </c>
      <c r="X30" s="305">
        <f t="shared" si="2"/>
        <v>2.73</v>
      </c>
      <c r="Y30" s="305">
        <v>3.26</v>
      </c>
      <c r="Z30" s="306">
        <f t="shared" si="3"/>
        <v>-0.5299999999999998</v>
      </c>
      <c r="AA30" s="307">
        <f t="shared" si="4"/>
        <v>3.0969999999999995</v>
      </c>
      <c r="AB30" s="323">
        <f t="shared" si="5"/>
        <v>-0.36699999999999955</v>
      </c>
    </row>
    <row r="31" spans="2:28" ht="20.25" x14ac:dyDescent="0.35">
      <c r="B31" s="174"/>
      <c r="C31" s="180" t="s">
        <v>214</v>
      </c>
      <c r="D31" s="181"/>
      <c r="E31" s="182"/>
      <c r="F31" s="183">
        <v>1</v>
      </c>
      <c r="G31" s="184">
        <v>40346</v>
      </c>
      <c r="H31" s="183"/>
      <c r="I31" s="185"/>
      <c r="J31" s="183" t="s">
        <v>215</v>
      </c>
      <c r="K31" s="173" t="s">
        <v>212</v>
      </c>
      <c r="L31" s="173"/>
      <c r="M31" s="173"/>
      <c r="R31" s="292" t="s">
        <v>273</v>
      </c>
      <c r="S31" s="319" t="s">
        <v>265</v>
      </c>
      <c r="T31" s="310" t="s">
        <v>20</v>
      </c>
      <c r="U31" s="311">
        <v>854</v>
      </c>
      <c r="V31" s="312">
        <v>300</v>
      </c>
      <c r="W31" s="313">
        <v>550</v>
      </c>
      <c r="X31" s="314">
        <f t="shared" si="2"/>
        <v>2.8466666666666667</v>
      </c>
      <c r="Y31" s="314">
        <v>3.21</v>
      </c>
      <c r="Z31" s="315">
        <f t="shared" si="3"/>
        <v>-0.36333333333333329</v>
      </c>
      <c r="AA31" s="316">
        <f t="shared" si="4"/>
        <v>3.0494999999999997</v>
      </c>
      <c r="AB31" s="317">
        <f t="shared" si="5"/>
        <v>-0.20283333333333298</v>
      </c>
    </row>
    <row r="32" spans="2:28" ht="20.25" x14ac:dyDescent="0.35">
      <c r="B32" s="154" t="s">
        <v>47</v>
      </c>
      <c r="C32" s="176" t="s">
        <v>214</v>
      </c>
      <c r="D32" s="156">
        <v>0.42430555555555555</v>
      </c>
      <c r="E32" s="157">
        <v>46095</v>
      </c>
      <c r="F32" s="155">
        <v>113</v>
      </c>
      <c r="G32" s="158">
        <v>40447</v>
      </c>
      <c r="H32" s="155">
        <f>G32-G31</f>
        <v>101</v>
      </c>
      <c r="I32" s="159">
        <f>(G32-G31)/F31</f>
        <v>101</v>
      </c>
      <c r="J32" s="155">
        <v>12886</v>
      </c>
      <c r="R32" s="292" t="s">
        <v>237</v>
      </c>
      <c r="S32" s="319" t="s">
        <v>274</v>
      </c>
      <c r="T32" s="301" t="s">
        <v>48</v>
      </c>
      <c r="U32" s="302">
        <v>982</v>
      </c>
      <c r="V32" s="303">
        <v>350</v>
      </c>
      <c r="W32" s="304">
        <v>550</v>
      </c>
      <c r="X32" s="305">
        <f t="shared" si="2"/>
        <v>2.8057142857142856</v>
      </c>
      <c r="Y32" s="305">
        <v>2.95</v>
      </c>
      <c r="Z32" s="306">
        <f t="shared" si="3"/>
        <v>-0.14428571428571457</v>
      </c>
      <c r="AA32" s="307">
        <f t="shared" si="4"/>
        <v>2.8025000000000002</v>
      </c>
      <c r="AB32" s="308">
        <f t="shared" si="5"/>
        <v>3.214285714285392E-3</v>
      </c>
    </row>
    <row r="33" spans="2:28" ht="20.25" x14ac:dyDescent="0.35">
      <c r="B33" s="174"/>
      <c r="C33" s="176" t="s">
        <v>214</v>
      </c>
      <c r="D33" s="156">
        <v>0.7006944444444444</v>
      </c>
      <c r="E33" s="157">
        <v>46098</v>
      </c>
      <c r="F33" s="155">
        <v>100</v>
      </c>
      <c r="G33" s="158">
        <v>40702</v>
      </c>
      <c r="H33" s="155">
        <f>G33-G32</f>
        <v>255</v>
      </c>
      <c r="I33" s="159">
        <f>(G33-G32)/F32</f>
        <v>2.2566371681415931</v>
      </c>
      <c r="J33" s="155">
        <v>11790</v>
      </c>
      <c r="R33" s="292" t="s">
        <v>275</v>
      </c>
      <c r="S33" s="319" t="s">
        <v>274</v>
      </c>
      <c r="T33" s="301" t="s">
        <v>51</v>
      </c>
      <c r="U33" s="302">
        <v>960</v>
      </c>
      <c r="V33" s="303">
        <v>350</v>
      </c>
      <c r="W33" s="304">
        <v>550</v>
      </c>
      <c r="X33" s="305">
        <f t="shared" si="2"/>
        <v>2.7428571428571429</v>
      </c>
      <c r="Y33" s="305">
        <v>3.19</v>
      </c>
      <c r="Z33" s="306">
        <f t="shared" si="3"/>
        <v>-0.44714285714285706</v>
      </c>
      <c r="AA33" s="307">
        <f t="shared" si="4"/>
        <v>3.0305</v>
      </c>
      <c r="AB33" s="323">
        <f t="shared" si="5"/>
        <v>-0.28764285714285709</v>
      </c>
    </row>
    <row r="34" spans="2:28" ht="20.25" x14ac:dyDescent="0.35">
      <c r="B34" s="174"/>
      <c r="C34" s="176" t="s">
        <v>214</v>
      </c>
      <c r="D34" s="156">
        <v>0.67708333333333337</v>
      </c>
      <c r="E34" s="157">
        <v>46099</v>
      </c>
      <c r="F34" s="155">
        <v>210</v>
      </c>
      <c r="G34" s="158">
        <v>40931</v>
      </c>
      <c r="H34" s="155">
        <f>G34-G33</f>
        <v>229</v>
      </c>
      <c r="I34" s="159">
        <f>(G34-G33)/F33</f>
        <v>2.29</v>
      </c>
      <c r="J34" s="155">
        <v>12906</v>
      </c>
      <c r="R34" s="292" t="s">
        <v>276</v>
      </c>
      <c r="S34" s="292"/>
      <c r="T34" s="301" t="s">
        <v>38</v>
      </c>
      <c r="U34" s="302">
        <v>894</v>
      </c>
      <c r="V34" s="303">
        <v>300</v>
      </c>
      <c r="W34" s="304">
        <v>600</v>
      </c>
      <c r="X34" s="305">
        <f t="shared" si="2"/>
        <v>2.98</v>
      </c>
      <c r="Y34" s="324">
        <v>2.61</v>
      </c>
      <c r="Z34" s="306">
        <f t="shared" si="3"/>
        <v>0.37000000000000011</v>
      </c>
      <c r="AA34" s="307">
        <f t="shared" si="4"/>
        <v>2.4794999999999998</v>
      </c>
      <c r="AB34" s="308">
        <f t="shared" si="5"/>
        <v>0.50050000000000017</v>
      </c>
    </row>
    <row r="35" spans="2:28" ht="20.25" x14ac:dyDescent="0.35">
      <c r="B35" s="174"/>
      <c r="C35" s="180" t="s">
        <v>214</v>
      </c>
      <c r="D35" s="181"/>
      <c r="E35" s="182"/>
      <c r="F35" s="183"/>
      <c r="G35" s="184">
        <v>41493</v>
      </c>
      <c r="H35" s="183"/>
      <c r="I35" s="185">
        <f>(G35-G34)/F34</f>
        <v>2.676190476190476</v>
      </c>
      <c r="J35" s="183" t="s">
        <v>215</v>
      </c>
      <c r="R35" s="292" t="s">
        <v>243</v>
      </c>
      <c r="S35" s="300"/>
      <c r="T35" s="301" t="s">
        <v>40</v>
      </c>
      <c r="U35" s="302">
        <v>989</v>
      </c>
      <c r="V35" s="303">
        <v>385</v>
      </c>
      <c r="W35" s="304">
        <v>600</v>
      </c>
      <c r="X35" s="305">
        <f t="shared" si="2"/>
        <v>2.5688311688311689</v>
      </c>
      <c r="Y35" s="324">
        <v>2.7</v>
      </c>
      <c r="Z35" s="306">
        <f t="shared" si="3"/>
        <v>-0.13116883116883127</v>
      </c>
      <c r="AA35" s="307">
        <f t="shared" si="4"/>
        <v>2.5649999999999999</v>
      </c>
      <c r="AB35" s="308">
        <f t="shared" si="5"/>
        <v>3.8311688311689629E-3</v>
      </c>
    </row>
    <row r="36" spans="2:28" ht="20.25" x14ac:dyDescent="0.35">
      <c r="B36" s="166"/>
      <c r="E36" s="168"/>
      <c r="F36" s="163">
        <f>SUM(F32:F35)</f>
        <v>423</v>
      </c>
      <c r="G36" s="164">
        <f>G35-G31</f>
        <v>1147</v>
      </c>
      <c r="H36" s="165"/>
      <c r="I36" s="160"/>
      <c r="J36" s="160"/>
      <c r="R36" s="292"/>
      <c r="S36" s="300"/>
      <c r="T36" s="293" t="s">
        <v>158</v>
      </c>
      <c r="U36" s="284"/>
      <c r="V36" s="309">
        <v>60</v>
      </c>
      <c r="W36" s="295"/>
      <c r="X36" s="296" t="s">
        <v>277</v>
      </c>
      <c r="Y36" s="318" t="s">
        <v>277</v>
      </c>
      <c r="Z36" s="297"/>
      <c r="AA36" s="298"/>
      <c r="AB36" s="299"/>
    </row>
    <row r="37" spans="2:28" ht="21" thickBot="1" x14ac:dyDescent="0.4">
      <c r="B37" s="166"/>
      <c r="C37" s="186" t="s">
        <v>202</v>
      </c>
      <c r="E37" s="168"/>
      <c r="F37" s="169" t="s">
        <v>203</v>
      </c>
      <c r="G37" s="170">
        <f>+G36/F36</f>
        <v>2.7115839243498816</v>
      </c>
      <c r="H37" s="165"/>
      <c r="I37" s="165"/>
      <c r="J37" s="165"/>
      <c r="R37" s="325"/>
      <c r="S37" s="326"/>
      <c r="T37" s="327" t="s">
        <v>30</v>
      </c>
      <c r="U37" s="326"/>
      <c r="V37" s="328">
        <v>39</v>
      </c>
      <c r="W37" s="329"/>
      <c r="X37" s="330" t="s">
        <v>277</v>
      </c>
      <c r="Y37" s="330" t="s">
        <v>277</v>
      </c>
      <c r="Z37" s="331"/>
      <c r="AA37" s="332"/>
      <c r="AB37" s="333"/>
    </row>
    <row r="38" spans="2:28" ht="21" thickBot="1" x14ac:dyDescent="0.4">
      <c r="B38" s="166"/>
      <c r="C38" s="187">
        <f>C40+20000</f>
        <v>60447</v>
      </c>
      <c r="E38" s="168"/>
      <c r="F38" s="160"/>
      <c r="G38" s="188"/>
      <c r="H38" s="165"/>
      <c r="I38" s="165"/>
      <c r="J38" s="165"/>
      <c r="R38" s="160"/>
      <c r="S38" s="160"/>
      <c r="T38" s="160"/>
      <c r="U38" s="160"/>
      <c r="V38" s="334">
        <f>SUM(V10:V37)</f>
        <v>8692</v>
      </c>
      <c r="W38" s="335" t="s">
        <v>278</v>
      </c>
      <c r="X38" s="336"/>
      <c r="AA38" s="160"/>
      <c r="AB38" s="160"/>
    </row>
    <row r="39" spans="2:28" ht="21" thickBot="1" x14ac:dyDescent="0.4">
      <c r="B39" s="166"/>
      <c r="C39" s="189" t="s">
        <v>216</v>
      </c>
      <c r="E39" s="168"/>
      <c r="F39" s="160"/>
      <c r="G39" s="188"/>
      <c r="H39" s="165"/>
      <c r="I39" s="165"/>
      <c r="J39" s="165"/>
      <c r="R39" s="160"/>
      <c r="S39" s="160"/>
      <c r="T39" s="337"/>
      <c r="U39" s="160"/>
      <c r="V39" s="334">
        <v>2481</v>
      </c>
      <c r="W39" s="335" t="s">
        <v>279</v>
      </c>
      <c r="X39" s="336"/>
      <c r="Y39" s="160"/>
      <c r="Z39" s="160"/>
      <c r="AA39" s="160"/>
      <c r="AB39" s="160"/>
    </row>
    <row r="40" spans="2:28" ht="21" thickBot="1" x14ac:dyDescent="0.4">
      <c r="B40" s="166"/>
      <c r="C40" s="187">
        <v>40447</v>
      </c>
      <c r="E40" s="168"/>
      <c r="F40" s="160"/>
      <c r="G40" s="188"/>
      <c r="H40" s="165"/>
      <c r="I40" s="165"/>
      <c r="J40" s="165"/>
      <c r="R40" s="160"/>
      <c r="S40" s="337"/>
      <c r="T40" s="160"/>
      <c r="V40" s="338">
        <f>V39+V38</f>
        <v>11173</v>
      </c>
      <c r="W40" s="339" t="s">
        <v>280</v>
      </c>
      <c r="X40" s="340"/>
      <c r="Y40" s="160"/>
      <c r="Z40" s="160"/>
      <c r="AA40" s="160"/>
      <c r="AB40" s="160"/>
    </row>
    <row r="41" spans="2:28" ht="20.25" x14ac:dyDescent="0.35">
      <c r="R41" s="160"/>
      <c r="S41" s="341"/>
      <c r="T41" s="160"/>
      <c r="U41" s="341"/>
      <c r="V41" s="165"/>
      <c r="W41" s="165"/>
      <c r="X41" s="165"/>
      <c r="Y41" s="160"/>
      <c r="Z41" s="160"/>
      <c r="AA41" s="160"/>
      <c r="AB41" s="160"/>
    </row>
    <row r="42" spans="2:28" ht="21" thickBot="1" x14ac:dyDescent="0.4">
      <c r="R42" s="160"/>
      <c r="S42" s="165"/>
      <c r="T42" s="165"/>
      <c r="U42" s="165"/>
      <c r="V42" s="160"/>
      <c r="W42" s="160"/>
      <c r="X42" s="160"/>
      <c r="Y42" s="160"/>
      <c r="Z42" s="160"/>
      <c r="AA42" s="160"/>
      <c r="AB42" s="160"/>
    </row>
    <row r="43" spans="2:28" ht="20.25" x14ac:dyDescent="0.35">
      <c r="B43" s="267" t="s">
        <v>205</v>
      </c>
      <c r="C43" s="267" t="s">
        <v>206</v>
      </c>
      <c r="D43" s="267" t="s">
        <v>23</v>
      </c>
      <c r="E43" s="268" t="s">
        <v>207</v>
      </c>
      <c r="F43" s="267" t="s">
        <v>208</v>
      </c>
      <c r="G43" s="269" t="s">
        <v>209</v>
      </c>
      <c r="H43" s="267" t="s">
        <v>244</v>
      </c>
      <c r="I43" s="267" t="s">
        <v>210</v>
      </c>
      <c r="J43" s="267" t="s">
        <v>211</v>
      </c>
      <c r="R43" s="160"/>
      <c r="S43" s="342" t="s">
        <v>281</v>
      </c>
      <c r="T43" s="343"/>
      <c r="U43" s="344"/>
      <c r="V43" s="160"/>
      <c r="W43" s="160"/>
      <c r="X43" s="160"/>
      <c r="Y43" s="160"/>
      <c r="Z43" s="160"/>
      <c r="AA43" s="160"/>
      <c r="AB43" s="160"/>
    </row>
    <row r="44" spans="2:28" ht="20.25" x14ac:dyDescent="0.35">
      <c r="B44" s="148"/>
      <c r="C44" s="190" t="s">
        <v>218</v>
      </c>
      <c r="D44" s="191">
        <v>0.75486111111111109</v>
      </c>
      <c r="E44" s="192">
        <v>46094</v>
      </c>
      <c r="F44" s="190">
        <v>1</v>
      </c>
      <c r="G44" s="193">
        <v>476767</v>
      </c>
      <c r="H44" s="190"/>
      <c r="I44" s="194"/>
      <c r="J44" s="190">
        <v>12881</v>
      </c>
      <c r="K44" s="173" t="s">
        <v>212</v>
      </c>
      <c r="L44" s="173"/>
      <c r="M44" s="173"/>
      <c r="R44" s="160"/>
      <c r="S44" s="345" t="s">
        <v>282</v>
      </c>
      <c r="T44" s="346">
        <v>131</v>
      </c>
      <c r="U44" s="160"/>
      <c r="V44" s="160"/>
      <c r="W44" s="160"/>
      <c r="X44" s="160"/>
      <c r="Y44" s="160"/>
      <c r="Z44" s="160"/>
      <c r="AA44" s="160"/>
      <c r="AB44" s="160"/>
    </row>
    <row r="45" spans="2:28" ht="20.25" x14ac:dyDescent="0.35">
      <c r="B45" s="195" t="s">
        <v>44</v>
      </c>
      <c r="C45" s="196" t="s">
        <v>218</v>
      </c>
      <c r="D45" s="197">
        <v>0.30902777777777779</v>
      </c>
      <c r="E45" s="198">
        <v>46095</v>
      </c>
      <c r="F45" s="196">
        <v>100</v>
      </c>
      <c r="G45" s="199">
        <v>476767</v>
      </c>
      <c r="H45" s="200">
        <f t="shared" ref="H44:H50" si="6">G45-G44</f>
        <v>0</v>
      </c>
      <c r="I45" s="201" t="e">
        <f>(G45-G43)/F43</f>
        <v>#VALUE!</v>
      </c>
      <c r="J45" s="196">
        <v>12883</v>
      </c>
      <c r="R45" s="160"/>
      <c r="S45" s="345" t="s">
        <v>86</v>
      </c>
      <c r="T45" s="346">
        <v>138</v>
      </c>
      <c r="U45" s="160"/>
      <c r="V45" s="160"/>
      <c r="W45" s="160"/>
      <c r="X45" s="160"/>
      <c r="Y45" s="160"/>
      <c r="Z45" s="160"/>
      <c r="AA45" s="160"/>
      <c r="AB45" s="160"/>
    </row>
    <row r="46" spans="2:28" ht="20.25" x14ac:dyDescent="0.35">
      <c r="B46" s="148"/>
      <c r="C46" s="196" t="s">
        <v>218</v>
      </c>
      <c r="D46" s="197">
        <v>0.72986111111111107</v>
      </c>
      <c r="E46" s="198">
        <v>46098</v>
      </c>
      <c r="F46" s="196">
        <v>100</v>
      </c>
      <c r="G46" s="199">
        <v>477128</v>
      </c>
      <c r="H46" s="200">
        <f t="shared" si="6"/>
        <v>361</v>
      </c>
      <c r="I46" s="201">
        <f>(G46-G45)/F45</f>
        <v>3.61</v>
      </c>
      <c r="J46" s="196">
        <v>11794</v>
      </c>
      <c r="R46" s="160"/>
      <c r="S46" s="345" t="s">
        <v>283</v>
      </c>
      <c r="T46" s="346">
        <v>270</v>
      </c>
      <c r="U46" s="160"/>
      <c r="V46" s="160"/>
      <c r="W46" s="160"/>
      <c r="X46" s="160"/>
      <c r="Y46" s="160"/>
      <c r="Z46" s="160"/>
      <c r="AA46" s="160"/>
      <c r="AB46" s="160"/>
    </row>
    <row r="47" spans="2:28" ht="20.25" x14ac:dyDescent="0.35">
      <c r="B47" s="148"/>
      <c r="C47" s="196" t="s">
        <v>218</v>
      </c>
      <c r="D47" s="197">
        <v>0.34652777777777777</v>
      </c>
      <c r="E47" s="198">
        <v>46100</v>
      </c>
      <c r="F47" s="196">
        <v>47</v>
      </c>
      <c r="G47" s="199">
        <v>477128</v>
      </c>
      <c r="H47" s="200">
        <f t="shared" si="6"/>
        <v>0</v>
      </c>
      <c r="I47" s="201">
        <f>(G47-G46)/F46</f>
        <v>0</v>
      </c>
      <c r="J47" s="196">
        <v>12918</v>
      </c>
      <c r="R47" s="174"/>
      <c r="S47" s="345" t="s">
        <v>284</v>
      </c>
      <c r="T47" s="346">
        <v>292</v>
      </c>
      <c r="U47" s="160"/>
      <c r="V47" s="174"/>
      <c r="W47" s="174"/>
      <c r="X47" s="174"/>
      <c r="Y47" s="174"/>
      <c r="Z47" s="174"/>
      <c r="AA47" s="174"/>
      <c r="AB47" s="174"/>
    </row>
    <row r="48" spans="2:28" ht="20.25" x14ac:dyDescent="0.35">
      <c r="B48" s="148"/>
      <c r="C48" s="196" t="s">
        <v>218</v>
      </c>
      <c r="D48" s="197">
        <v>0.70416666666666672</v>
      </c>
      <c r="E48" s="198">
        <v>46101</v>
      </c>
      <c r="F48" s="196">
        <v>2</v>
      </c>
      <c r="G48" s="199">
        <v>477518</v>
      </c>
      <c r="H48" s="200">
        <f t="shared" si="6"/>
        <v>390</v>
      </c>
      <c r="I48" s="201">
        <f>(G48-G47)/F47</f>
        <v>8.2978723404255312</v>
      </c>
      <c r="J48" s="196">
        <v>12939</v>
      </c>
      <c r="R48" s="160"/>
      <c r="S48" s="345" t="s">
        <v>115</v>
      </c>
      <c r="T48" s="346">
        <v>70</v>
      </c>
      <c r="U48" s="174"/>
      <c r="V48" s="160"/>
      <c r="W48" s="160"/>
      <c r="X48" s="160"/>
      <c r="Y48" s="160"/>
      <c r="Z48" s="160"/>
      <c r="AA48" s="160"/>
      <c r="AB48" s="160"/>
    </row>
    <row r="49" spans="2:28" ht="20.25" x14ac:dyDescent="0.35">
      <c r="B49" s="166"/>
      <c r="C49" s="160"/>
      <c r="D49" s="160"/>
      <c r="E49" s="162"/>
      <c r="F49" s="163">
        <f>SUM(F45:F48)</f>
        <v>249</v>
      </c>
      <c r="G49" s="164">
        <f>G48-G44</f>
        <v>751</v>
      </c>
      <c r="H49" s="165"/>
      <c r="I49" s="165"/>
      <c r="J49" s="165"/>
      <c r="R49" s="160"/>
      <c r="S49" s="345" t="s">
        <v>285</v>
      </c>
      <c r="T49" s="346">
        <v>628</v>
      </c>
      <c r="U49" s="160"/>
      <c r="V49" s="160"/>
      <c r="W49" s="160"/>
      <c r="X49" s="160"/>
      <c r="Y49" s="160"/>
      <c r="Z49" s="160"/>
      <c r="AA49" s="160"/>
      <c r="AB49" s="160"/>
    </row>
    <row r="50" spans="2:28" ht="20.25" x14ac:dyDescent="0.35">
      <c r="B50" s="166"/>
      <c r="C50" s="165"/>
      <c r="D50" s="165"/>
      <c r="E50" s="168"/>
      <c r="F50" s="169" t="s">
        <v>203</v>
      </c>
      <c r="G50" s="170">
        <f>+G49/F49</f>
        <v>3.0160642570281126</v>
      </c>
      <c r="H50" s="165"/>
      <c r="I50" s="165"/>
      <c r="J50" s="165"/>
      <c r="R50" s="174"/>
      <c r="S50" s="345" t="s">
        <v>286</v>
      </c>
      <c r="T50" s="346">
        <v>455</v>
      </c>
      <c r="U50" s="160"/>
      <c r="V50" s="174"/>
      <c r="W50" s="174"/>
      <c r="X50" s="174"/>
      <c r="Y50" s="174"/>
      <c r="Z50" s="174"/>
      <c r="AA50" s="174"/>
      <c r="AB50" s="174"/>
    </row>
    <row r="51" spans="2:28" ht="20.25" x14ac:dyDescent="0.35">
      <c r="R51" s="160"/>
      <c r="S51" s="345" t="s">
        <v>287</v>
      </c>
      <c r="T51" s="346">
        <v>63</v>
      </c>
      <c r="U51" s="174"/>
      <c r="V51" s="160"/>
      <c r="W51" s="160"/>
      <c r="X51" s="160"/>
      <c r="Y51" s="160"/>
      <c r="Z51" s="160"/>
      <c r="AA51" s="160"/>
      <c r="AB51" s="160"/>
    </row>
    <row r="52" spans="2:28" ht="21" thickBot="1" x14ac:dyDescent="0.4">
      <c r="R52" s="160"/>
      <c r="S52" s="345" t="s">
        <v>288</v>
      </c>
      <c r="T52" s="346">
        <v>102</v>
      </c>
      <c r="U52" s="160"/>
      <c r="V52" s="160"/>
      <c r="W52" s="160"/>
      <c r="X52" s="160"/>
      <c r="Y52" s="160"/>
      <c r="Z52" s="160"/>
      <c r="AA52" s="160"/>
      <c r="AB52" s="160"/>
    </row>
    <row r="53" spans="2:28" ht="20.25" x14ac:dyDescent="0.35">
      <c r="B53" s="267" t="s">
        <v>205</v>
      </c>
      <c r="C53" s="267" t="s">
        <v>206</v>
      </c>
      <c r="D53" s="267" t="s">
        <v>23</v>
      </c>
      <c r="E53" s="268" t="s">
        <v>207</v>
      </c>
      <c r="F53" s="267" t="s">
        <v>208</v>
      </c>
      <c r="G53" s="269" t="s">
        <v>209</v>
      </c>
      <c r="H53" s="267" t="s">
        <v>244</v>
      </c>
      <c r="I53" s="267" t="s">
        <v>210</v>
      </c>
      <c r="J53" s="267" t="s">
        <v>211</v>
      </c>
      <c r="R53" s="174"/>
      <c r="S53" s="345" t="s">
        <v>289</v>
      </c>
      <c r="T53" s="346">
        <v>96</v>
      </c>
      <c r="U53" s="160"/>
      <c r="V53" s="174"/>
      <c r="W53" s="174"/>
      <c r="X53" s="174"/>
      <c r="Y53" s="174"/>
      <c r="Z53" s="174"/>
      <c r="AA53" s="174"/>
      <c r="AB53" s="174"/>
    </row>
    <row r="54" spans="2:28" ht="20.25" x14ac:dyDescent="0.35">
      <c r="B54" s="174"/>
      <c r="C54" s="202" t="s">
        <v>219</v>
      </c>
      <c r="D54" s="150">
        <v>0.70277777777777772</v>
      </c>
      <c r="E54" s="151">
        <v>46094</v>
      </c>
      <c r="F54" s="149">
        <v>1</v>
      </c>
      <c r="G54" s="152">
        <v>468296</v>
      </c>
      <c r="H54" s="149"/>
      <c r="I54" s="153"/>
      <c r="J54" s="149">
        <v>12875</v>
      </c>
      <c r="K54" s="173" t="s">
        <v>212</v>
      </c>
      <c r="L54" s="173"/>
      <c r="M54" s="173"/>
      <c r="R54" s="160"/>
      <c r="S54" s="345" t="s">
        <v>290</v>
      </c>
      <c r="T54" s="346">
        <v>52</v>
      </c>
      <c r="U54" s="174"/>
      <c r="V54" s="160"/>
      <c r="W54" s="160"/>
      <c r="X54" s="160"/>
      <c r="Y54" s="160"/>
      <c r="Z54" s="160"/>
      <c r="AA54" s="160"/>
      <c r="AB54" s="160"/>
    </row>
    <row r="55" spans="2:28" ht="20.25" x14ac:dyDescent="0.35">
      <c r="B55" s="203" t="s">
        <v>54</v>
      </c>
      <c r="C55" s="204" t="s">
        <v>219</v>
      </c>
      <c r="D55" s="156">
        <v>0.52152777777777781</v>
      </c>
      <c r="E55" s="157">
        <v>46095</v>
      </c>
      <c r="F55" s="155">
        <v>100</v>
      </c>
      <c r="G55" s="158">
        <v>468432</v>
      </c>
      <c r="H55" s="155">
        <f t="shared" ref="H54:H59" si="7">G55-G54</f>
        <v>136</v>
      </c>
      <c r="I55" s="159">
        <f t="shared" ref="I54:I59" si="8">(G55-G54)/F54</f>
        <v>136</v>
      </c>
      <c r="J55" s="155">
        <v>12892</v>
      </c>
      <c r="R55" s="160"/>
      <c r="S55" s="345" t="s">
        <v>291</v>
      </c>
      <c r="T55" s="346">
        <v>74</v>
      </c>
      <c r="U55" s="160"/>
      <c r="V55" s="160"/>
      <c r="W55" s="160"/>
      <c r="X55" s="160"/>
      <c r="Y55" s="160"/>
      <c r="Z55" s="160"/>
      <c r="AA55" s="160"/>
      <c r="AB55" s="160"/>
    </row>
    <row r="56" spans="2:28" ht="20.25" x14ac:dyDescent="0.35">
      <c r="B56" s="174"/>
      <c r="C56" s="204" t="s">
        <v>219</v>
      </c>
      <c r="D56" s="156">
        <v>0.73472222222222228</v>
      </c>
      <c r="E56" s="157">
        <v>46098</v>
      </c>
      <c r="F56" s="155">
        <v>76</v>
      </c>
      <c r="G56" s="158">
        <v>468683</v>
      </c>
      <c r="H56" s="155">
        <f t="shared" si="7"/>
        <v>251</v>
      </c>
      <c r="I56" s="159">
        <f t="shared" si="8"/>
        <v>2.5099999999999998</v>
      </c>
      <c r="J56" s="179">
        <v>11795</v>
      </c>
      <c r="R56" s="160"/>
      <c r="S56" s="345" t="s">
        <v>292</v>
      </c>
      <c r="T56" s="346">
        <v>23</v>
      </c>
      <c r="U56" s="160"/>
      <c r="V56" s="160"/>
      <c r="W56" s="160"/>
      <c r="X56" s="160"/>
      <c r="Y56" s="160"/>
      <c r="Z56" s="160"/>
      <c r="AA56" s="160"/>
      <c r="AB56" s="160"/>
    </row>
    <row r="57" spans="2:28" ht="20.25" x14ac:dyDescent="0.35">
      <c r="B57" s="174"/>
      <c r="C57" s="204" t="s">
        <v>219</v>
      </c>
      <c r="D57" s="156">
        <v>0.79166666666666663</v>
      </c>
      <c r="E57" s="157">
        <v>46099</v>
      </c>
      <c r="F57" s="155">
        <v>77</v>
      </c>
      <c r="G57" s="158">
        <v>468949</v>
      </c>
      <c r="H57" s="155">
        <f>G57-G56</f>
        <v>266</v>
      </c>
      <c r="I57" s="159">
        <f>(G57-G56)/F56</f>
        <v>3.5</v>
      </c>
      <c r="J57" s="155">
        <v>12914</v>
      </c>
      <c r="R57" s="160"/>
      <c r="S57" s="345" t="s">
        <v>293</v>
      </c>
      <c r="T57" s="346">
        <v>87</v>
      </c>
      <c r="U57" s="160"/>
      <c r="V57" s="160"/>
      <c r="W57" s="160"/>
      <c r="X57" s="160"/>
      <c r="Y57" s="160"/>
      <c r="Z57" s="160"/>
      <c r="AA57" s="160"/>
      <c r="AB57" s="160"/>
    </row>
    <row r="58" spans="2:28" ht="20.25" x14ac:dyDescent="0.35">
      <c r="B58" s="174"/>
      <c r="C58" s="204" t="s">
        <v>219</v>
      </c>
      <c r="D58" s="156">
        <v>0.70972222222222225</v>
      </c>
      <c r="E58" s="157">
        <v>46100</v>
      </c>
      <c r="F58" s="155">
        <v>89</v>
      </c>
      <c r="G58" s="158">
        <v>469251</v>
      </c>
      <c r="H58" s="155">
        <f>G58-G57</f>
        <v>302</v>
      </c>
      <c r="I58" s="159">
        <f>(G58-G57)/F57</f>
        <v>3.9220779220779223</v>
      </c>
      <c r="J58" s="155">
        <v>12922</v>
      </c>
      <c r="R58" s="160"/>
      <c r="S58" s="160"/>
      <c r="T58" s="347">
        <v>2481</v>
      </c>
      <c r="U58" s="160"/>
      <c r="V58" s="160"/>
      <c r="W58" s="160"/>
      <c r="X58" s="160"/>
      <c r="Y58" s="160"/>
      <c r="Z58" s="160"/>
      <c r="AA58" s="160"/>
      <c r="AB58" s="160"/>
    </row>
    <row r="59" spans="2:28" ht="20.25" x14ac:dyDescent="0.35">
      <c r="B59" s="174"/>
      <c r="C59" s="204" t="s">
        <v>219</v>
      </c>
      <c r="D59" s="156">
        <v>0.73611111111111116</v>
      </c>
      <c r="E59" s="157">
        <v>46101</v>
      </c>
      <c r="F59" s="155">
        <v>1</v>
      </c>
      <c r="G59" s="158">
        <v>469495</v>
      </c>
      <c r="H59" s="155">
        <f>G59-G58</f>
        <v>244</v>
      </c>
      <c r="I59" s="159">
        <f>(G59-G58)/F58</f>
        <v>2.7415730337078652</v>
      </c>
      <c r="J59" s="155">
        <v>12943</v>
      </c>
    </row>
    <row r="60" spans="2:28" ht="20.25" x14ac:dyDescent="0.35">
      <c r="B60" s="174"/>
      <c r="C60" s="165"/>
      <c r="D60" s="165"/>
      <c r="E60" s="168"/>
      <c r="F60" s="205">
        <f>SUM(F55:F59)</f>
        <v>343</v>
      </c>
      <c r="G60" s="206">
        <f>G59-G54</f>
        <v>1199</v>
      </c>
      <c r="H60" s="165"/>
      <c r="I60" s="165"/>
      <c r="J60" s="165"/>
    </row>
    <row r="61" spans="2:28" ht="20.25" x14ac:dyDescent="0.35">
      <c r="B61" s="166"/>
      <c r="E61" s="168"/>
      <c r="F61" s="169" t="s">
        <v>203</v>
      </c>
      <c r="G61" s="170">
        <f>G60/F60</f>
        <v>3.4956268221574343</v>
      </c>
      <c r="H61" s="165"/>
      <c r="I61" s="165"/>
      <c r="J61" s="165"/>
    </row>
    <row r="63" spans="2:28" ht="15.75" thickBot="1" x14ac:dyDescent="0.3"/>
    <row r="64" spans="2:28" ht="20.25" x14ac:dyDescent="0.25">
      <c r="B64" s="267" t="s">
        <v>205</v>
      </c>
      <c r="C64" s="267" t="s">
        <v>206</v>
      </c>
      <c r="D64" s="267" t="s">
        <v>23</v>
      </c>
      <c r="E64" s="268" t="s">
        <v>207</v>
      </c>
      <c r="F64" s="267" t="s">
        <v>208</v>
      </c>
      <c r="G64" s="269" t="s">
        <v>209</v>
      </c>
      <c r="H64" s="267" t="s">
        <v>244</v>
      </c>
      <c r="I64" s="267" t="s">
        <v>210</v>
      </c>
      <c r="J64" s="267" t="s">
        <v>211</v>
      </c>
    </row>
    <row r="65" spans="2:13" ht="20.25" x14ac:dyDescent="0.35">
      <c r="B65" s="174"/>
      <c r="C65" s="149" t="s">
        <v>220</v>
      </c>
      <c r="D65" s="150">
        <v>0.69166666666666665</v>
      </c>
      <c r="E65" s="151">
        <v>46094</v>
      </c>
      <c r="F65" s="149">
        <v>30</v>
      </c>
      <c r="G65" s="152">
        <v>35439</v>
      </c>
      <c r="H65" s="149"/>
      <c r="I65" s="208"/>
      <c r="J65" s="149">
        <v>12874</v>
      </c>
      <c r="K65" s="173" t="s">
        <v>212</v>
      </c>
      <c r="L65" s="173"/>
      <c r="M65" s="173"/>
    </row>
    <row r="66" spans="2:13" ht="20.25" x14ac:dyDescent="0.35">
      <c r="B66" s="203" t="s">
        <v>53</v>
      </c>
      <c r="C66" s="155" t="s">
        <v>220</v>
      </c>
      <c r="D66" s="156">
        <v>0.56805555555555554</v>
      </c>
      <c r="E66" s="157">
        <v>46095</v>
      </c>
      <c r="F66" s="155">
        <v>100</v>
      </c>
      <c r="G66" s="158">
        <v>35578</v>
      </c>
      <c r="H66" s="177">
        <f t="shared" ref="H65:H70" si="9">G66-G65</f>
        <v>139</v>
      </c>
      <c r="I66" s="207">
        <f t="shared" ref="I65:I70" si="10">(G66-G65)/F65</f>
        <v>4.6333333333333337</v>
      </c>
      <c r="J66" s="155">
        <v>12898</v>
      </c>
    </row>
    <row r="67" spans="2:13" ht="20.25" x14ac:dyDescent="0.35">
      <c r="B67" s="174"/>
      <c r="C67" s="155" t="s">
        <v>220</v>
      </c>
      <c r="D67" s="156">
        <v>0.75624999999999998</v>
      </c>
      <c r="E67" s="157">
        <v>46098</v>
      </c>
      <c r="F67" s="155">
        <v>100</v>
      </c>
      <c r="G67" s="158">
        <v>35789</v>
      </c>
      <c r="H67" s="177">
        <f t="shared" si="9"/>
        <v>211</v>
      </c>
      <c r="I67" s="207">
        <f t="shared" si="10"/>
        <v>2.11</v>
      </c>
      <c r="J67" s="155">
        <v>11798</v>
      </c>
    </row>
    <row r="68" spans="2:13" ht="20.25" x14ac:dyDescent="0.35">
      <c r="B68" s="174"/>
      <c r="C68" s="155" t="s">
        <v>220</v>
      </c>
      <c r="D68" s="156">
        <v>0.7583333333333333</v>
      </c>
      <c r="E68" s="157">
        <v>46099</v>
      </c>
      <c r="F68" s="155">
        <v>120</v>
      </c>
      <c r="G68" s="158">
        <v>36050</v>
      </c>
      <c r="H68" s="177">
        <f t="shared" si="9"/>
        <v>261</v>
      </c>
      <c r="I68" s="207">
        <f t="shared" si="10"/>
        <v>2.61</v>
      </c>
      <c r="J68" s="155">
        <v>12910</v>
      </c>
    </row>
    <row r="69" spans="2:13" ht="20.25" x14ac:dyDescent="0.35">
      <c r="B69" s="174"/>
      <c r="C69" s="155" t="s">
        <v>220</v>
      </c>
      <c r="D69" s="156"/>
      <c r="E69" s="157">
        <v>46100</v>
      </c>
      <c r="F69" s="155">
        <v>120</v>
      </c>
      <c r="G69" s="158">
        <v>36309</v>
      </c>
      <c r="H69" s="177">
        <f t="shared" si="9"/>
        <v>259</v>
      </c>
      <c r="I69" s="207">
        <f t="shared" si="10"/>
        <v>2.1583333333333332</v>
      </c>
      <c r="J69" s="155">
        <v>12926</v>
      </c>
    </row>
    <row r="70" spans="2:13" ht="20.25" x14ac:dyDescent="0.35">
      <c r="B70" s="174"/>
      <c r="C70" s="155" t="s">
        <v>220</v>
      </c>
      <c r="D70" s="156">
        <v>0.69444444444444442</v>
      </c>
      <c r="E70" s="157">
        <v>46101</v>
      </c>
      <c r="F70" s="155">
        <v>30</v>
      </c>
      <c r="G70" s="158">
        <v>36536</v>
      </c>
      <c r="H70" s="177">
        <f t="shared" si="9"/>
        <v>227</v>
      </c>
      <c r="I70" s="207">
        <f t="shared" si="10"/>
        <v>1.8916666666666666</v>
      </c>
      <c r="J70" s="155">
        <v>12938</v>
      </c>
    </row>
    <row r="71" spans="2:13" ht="20.25" x14ac:dyDescent="0.35">
      <c r="B71" s="166"/>
      <c r="F71" s="163">
        <f>SUM(F66:F70)</f>
        <v>470</v>
      </c>
      <c r="G71" s="164">
        <f>G70-G65</f>
        <v>1097</v>
      </c>
      <c r="H71" s="165"/>
      <c r="I71" s="165"/>
      <c r="J71" s="165"/>
    </row>
    <row r="72" spans="2:13" ht="20.25" x14ac:dyDescent="0.35">
      <c r="B72" s="166"/>
      <c r="C72" s="167" t="s">
        <v>202</v>
      </c>
      <c r="F72" s="169" t="s">
        <v>203</v>
      </c>
      <c r="G72" s="170">
        <f>+G71/F71</f>
        <v>2.3340425531914892</v>
      </c>
      <c r="H72" s="165"/>
      <c r="I72" s="165"/>
      <c r="J72" s="165"/>
    </row>
    <row r="73" spans="2:13" ht="20.25" x14ac:dyDescent="0.35">
      <c r="B73" s="166"/>
      <c r="C73" s="152">
        <f>C75+21000</f>
        <v>54018</v>
      </c>
      <c r="F73" s="165"/>
      <c r="G73" s="172"/>
      <c r="H73" s="165"/>
      <c r="I73" s="165"/>
      <c r="J73" s="165"/>
    </row>
    <row r="74" spans="2:13" ht="21" x14ac:dyDescent="0.35">
      <c r="B74" s="166"/>
      <c r="C74" s="171" t="s">
        <v>221</v>
      </c>
      <c r="D74" s="165"/>
      <c r="E74" s="168"/>
      <c r="F74" s="165"/>
      <c r="G74" s="172"/>
      <c r="H74" s="165"/>
      <c r="I74" s="165"/>
      <c r="J74" s="37"/>
    </row>
    <row r="75" spans="2:13" ht="20.25" x14ac:dyDescent="0.35">
      <c r="B75" s="166"/>
      <c r="C75" s="152">
        <v>33018</v>
      </c>
      <c r="D75" s="165"/>
      <c r="E75" s="168"/>
      <c r="F75" s="165"/>
      <c r="G75" s="172"/>
      <c r="H75" s="165"/>
      <c r="I75" s="165"/>
      <c r="J75" s="165"/>
    </row>
    <row r="76" spans="2:13" ht="15.75" thickBot="1" x14ac:dyDescent="0.3"/>
    <row r="77" spans="2:13" ht="20.25" x14ac:dyDescent="0.25">
      <c r="B77" s="267" t="s">
        <v>205</v>
      </c>
      <c r="C77" s="267" t="s">
        <v>206</v>
      </c>
      <c r="D77" s="267" t="s">
        <v>23</v>
      </c>
      <c r="E77" s="268" t="s">
        <v>207</v>
      </c>
      <c r="F77" s="267" t="s">
        <v>208</v>
      </c>
      <c r="G77" s="269" t="s">
        <v>209</v>
      </c>
      <c r="H77" s="267" t="s">
        <v>244</v>
      </c>
      <c r="I77" s="267" t="s">
        <v>210</v>
      </c>
      <c r="J77" s="267" t="s">
        <v>211</v>
      </c>
    </row>
    <row r="78" spans="2:13" ht="20.25" x14ac:dyDescent="0.35">
      <c r="B78" s="166"/>
      <c r="C78" s="180" t="s">
        <v>222</v>
      </c>
      <c r="D78" s="209"/>
      <c r="E78" s="210">
        <v>46094</v>
      </c>
      <c r="F78" s="211">
        <v>1</v>
      </c>
      <c r="G78" s="212">
        <v>23226</v>
      </c>
      <c r="H78" s="184"/>
      <c r="I78" s="213"/>
      <c r="J78" s="183" t="s">
        <v>215</v>
      </c>
      <c r="K78" s="173" t="s">
        <v>212</v>
      </c>
      <c r="L78" s="173"/>
      <c r="M78" s="173"/>
    </row>
    <row r="79" spans="2:13" ht="20.25" x14ac:dyDescent="0.35">
      <c r="B79" s="203" t="s">
        <v>39</v>
      </c>
      <c r="C79" s="176" t="s">
        <v>222</v>
      </c>
      <c r="D79" s="204">
        <v>0.49305555555555558</v>
      </c>
      <c r="E79" s="157">
        <v>46095</v>
      </c>
      <c r="F79" s="214">
        <v>100</v>
      </c>
      <c r="G79" s="215">
        <v>23372</v>
      </c>
      <c r="H79" s="158">
        <f t="shared" ref="H78:H85" si="11">G79-G78</f>
        <v>146</v>
      </c>
      <c r="I79" s="216">
        <f>(G79-G78)/F78</f>
        <v>146</v>
      </c>
      <c r="J79" s="155">
        <v>12890</v>
      </c>
    </row>
    <row r="80" spans="2:13" ht="20.25" x14ac:dyDescent="0.35">
      <c r="B80" s="174"/>
      <c r="C80" s="176" t="s">
        <v>223</v>
      </c>
      <c r="D80" s="204">
        <v>0.34097222222222223</v>
      </c>
      <c r="E80" s="157">
        <v>46099</v>
      </c>
      <c r="F80" s="214">
        <v>241</v>
      </c>
      <c r="G80" s="215">
        <v>23375</v>
      </c>
      <c r="H80" s="158">
        <f t="shared" si="11"/>
        <v>3</v>
      </c>
      <c r="I80" s="216">
        <f>(G80-G79)/F79</f>
        <v>0.03</v>
      </c>
      <c r="J80" s="217" t="s">
        <v>140</v>
      </c>
    </row>
    <row r="81" spans="2:13" ht="20.25" x14ac:dyDescent="0.35">
      <c r="B81" s="166"/>
      <c r="C81" s="176" t="s">
        <v>223</v>
      </c>
      <c r="D81" s="204">
        <v>0.30208333333333331</v>
      </c>
      <c r="E81" s="157">
        <v>46100</v>
      </c>
      <c r="F81" s="214">
        <v>105</v>
      </c>
      <c r="G81" s="215">
        <v>23609</v>
      </c>
      <c r="H81" s="158">
        <f t="shared" si="11"/>
        <v>234</v>
      </c>
      <c r="I81" s="216">
        <f>(G81-G80)/F80</f>
        <v>0.97095435684647302</v>
      </c>
      <c r="J81" s="155">
        <v>12917</v>
      </c>
    </row>
    <row r="82" spans="2:13" ht="20.25" x14ac:dyDescent="0.35">
      <c r="B82" s="166"/>
      <c r="C82" s="176" t="s">
        <v>223</v>
      </c>
      <c r="D82" s="204">
        <v>0.75624999999999998</v>
      </c>
      <c r="E82" s="157">
        <v>46100</v>
      </c>
      <c r="F82" s="214">
        <v>100</v>
      </c>
      <c r="G82" s="215">
        <v>23815</v>
      </c>
      <c r="H82" s="158">
        <f t="shared" si="11"/>
        <v>206</v>
      </c>
      <c r="I82" s="216">
        <f>(G82-G81)/F81</f>
        <v>1.9619047619047618</v>
      </c>
      <c r="J82" s="155">
        <v>12927</v>
      </c>
    </row>
    <row r="83" spans="2:13" ht="20.25" x14ac:dyDescent="0.35">
      <c r="B83" s="166"/>
      <c r="C83" s="176" t="s">
        <v>223</v>
      </c>
      <c r="D83" s="204">
        <v>0.72222222222222221</v>
      </c>
      <c r="E83" s="218">
        <v>46101</v>
      </c>
      <c r="F83" s="214">
        <v>1</v>
      </c>
      <c r="G83" s="215">
        <v>24050</v>
      </c>
      <c r="H83" s="158">
        <f t="shared" si="11"/>
        <v>235</v>
      </c>
      <c r="I83" s="216">
        <f>(G83-G82)/F82</f>
        <v>2.35</v>
      </c>
      <c r="J83" s="155">
        <v>12941</v>
      </c>
    </row>
    <row r="84" spans="2:13" ht="20.25" x14ac:dyDescent="0.35">
      <c r="B84" s="166"/>
      <c r="C84" s="219"/>
      <c r="D84" s="220"/>
      <c r="E84" s="162"/>
      <c r="F84" s="221">
        <f>SUM(F79:F83)</f>
        <v>547</v>
      </c>
      <c r="G84" s="164">
        <f>G83-G78</f>
        <v>824</v>
      </c>
      <c r="H84" s="188"/>
      <c r="I84" s="222"/>
      <c r="J84" s="160"/>
    </row>
    <row r="85" spans="2:13" ht="20.25" x14ac:dyDescent="0.35">
      <c r="B85" s="166"/>
      <c r="D85" s="220"/>
      <c r="E85" s="162"/>
      <c r="F85" s="169" t="s">
        <v>203</v>
      </c>
      <c r="G85" s="170">
        <f>+G84/F84</f>
        <v>1.506398537477148</v>
      </c>
      <c r="H85" s="188"/>
      <c r="I85" s="222"/>
      <c r="J85" s="160"/>
    </row>
    <row r="86" spans="2:13" ht="15.75" thickBot="1" x14ac:dyDescent="0.3"/>
    <row r="87" spans="2:13" ht="20.25" x14ac:dyDescent="0.25">
      <c r="B87" s="267" t="s">
        <v>205</v>
      </c>
      <c r="C87" s="267" t="s">
        <v>206</v>
      </c>
      <c r="D87" s="267" t="s">
        <v>23</v>
      </c>
      <c r="E87" s="268" t="s">
        <v>207</v>
      </c>
      <c r="F87" s="267" t="s">
        <v>208</v>
      </c>
      <c r="G87" s="269" t="s">
        <v>209</v>
      </c>
      <c r="H87" s="267" t="s">
        <v>244</v>
      </c>
      <c r="I87" s="267" t="s">
        <v>210</v>
      </c>
      <c r="J87" s="267" t="s">
        <v>211</v>
      </c>
    </row>
    <row r="88" spans="2:13" ht="20.25" x14ac:dyDescent="0.35">
      <c r="B88" s="174"/>
      <c r="C88" s="149" t="s">
        <v>224</v>
      </c>
      <c r="D88" s="150">
        <v>0.72083333333333333</v>
      </c>
      <c r="E88" s="151">
        <v>46094</v>
      </c>
      <c r="F88" s="149">
        <v>5</v>
      </c>
      <c r="G88" s="152">
        <v>29958</v>
      </c>
      <c r="H88" s="152"/>
      <c r="I88" s="208"/>
      <c r="J88" s="149">
        <v>12879</v>
      </c>
      <c r="K88" s="173" t="s">
        <v>212</v>
      </c>
      <c r="L88" s="173"/>
      <c r="M88" s="173"/>
    </row>
    <row r="89" spans="2:13" ht="20.25" x14ac:dyDescent="0.35">
      <c r="B89" s="203" t="s">
        <v>41</v>
      </c>
      <c r="C89" s="155" t="s">
        <v>224</v>
      </c>
      <c r="D89" s="156">
        <v>0.25694444444444442</v>
      </c>
      <c r="E89" s="157">
        <v>46095</v>
      </c>
      <c r="F89" s="155">
        <v>70</v>
      </c>
      <c r="G89" s="158">
        <v>29982</v>
      </c>
      <c r="H89" s="223">
        <f t="shared" ref="H88:H96" si="12">G89-G88</f>
        <v>24</v>
      </c>
      <c r="I89" s="207">
        <f t="shared" ref="I88:I96" si="13">(G89-G88)/F88</f>
        <v>4.8</v>
      </c>
      <c r="J89" s="155">
        <v>11773</v>
      </c>
    </row>
    <row r="90" spans="2:13" ht="20.25" x14ac:dyDescent="0.35">
      <c r="B90" s="174"/>
      <c r="C90" s="155" t="s">
        <v>224</v>
      </c>
      <c r="D90" s="156">
        <v>0.59722222222222221</v>
      </c>
      <c r="E90" s="157">
        <v>46095</v>
      </c>
      <c r="F90" s="155">
        <v>100</v>
      </c>
      <c r="G90" s="158">
        <v>30180</v>
      </c>
      <c r="H90" s="223">
        <f t="shared" si="12"/>
        <v>198</v>
      </c>
      <c r="I90" s="207">
        <f t="shared" si="13"/>
        <v>2.8285714285714287</v>
      </c>
      <c r="J90" s="155">
        <v>12900</v>
      </c>
    </row>
    <row r="91" spans="2:13" ht="20.25" x14ac:dyDescent="0.35">
      <c r="B91" s="174"/>
      <c r="C91" s="155" t="s">
        <v>224</v>
      </c>
      <c r="D91" s="156">
        <v>0.70833333333333337</v>
      </c>
      <c r="E91" s="157">
        <v>46098</v>
      </c>
      <c r="F91" s="155">
        <v>100</v>
      </c>
      <c r="G91" s="158">
        <v>30426</v>
      </c>
      <c r="H91" s="223">
        <f t="shared" si="12"/>
        <v>246</v>
      </c>
      <c r="I91" s="207">
        <f t="shared" si="13"/>
        <v>2.46</v>
      </c>
      <c r="J91" s="179">
        <v>11791</v>
      </c>
    </row>
    <row r="92" spans="2:13" ht="20.25" x14ac:dyDescent="0.35">
      <c r="B92" s="174"/>
      <c r="C92" s="155" t="s">
        <v>224</v>
      </c>
      <c r="D92" s="218">
        <v>46099</v>
      </c>
      <c r="E92" s="157">
        <v>46099</v>
      </c>
      <c r="F92" s="155">
        <v>50</v>
      </c>
      <c r="G92" s="158">
        <v>30544</v>
      </c>
      <c r="H92" s="223">
        <f t="shared" si="12"/>
        <v>118</v>
      </c>
      <c r="I92" s="207">
        <f t="shared" si="13"/>
        <v>1.18</v>
      </c>
      <c r="J92" s="155">
        <v>12904</v>
      </c>
    </row>
    <row r="93" spans="2:13" ht="20.25" x14ac:dyDescent="0.35">
      <c r="B93" s="174"/>
      <c r="C93" s="155" t="s">
        <v>224</v>
      </c>
      <c r="D93" s="156">
        <v>0.71597222222222223</v>
      </c>
      <c r="E93" s="157">
        <v>46100</v>
      </c>
      <c r="F93" s="155">
        <v>100</v>
      </c>
      <c r="G93" s="158">
        <v>30809</v>
      </c>
      <c r="H93" s="223">
        <f t="shared" si="12"/>
        <v>265</v>
      </c>
      <c r="I93" s="207">
        <f t="shared" si="13"/>
        <v>5.3</v>
      </c>
      <c r="J93" s="155">
        <v>12923</v>
      </c>
    </row>
    <row r="94" spans="2:13" ht="20.25" x14ac:dyDescent="0.35">
      <c r="B94" s="174"/>
      <c r="C94" s="155" t="s">
        <v>224</v>
      </c>
      <c r="D94" s="156">
        <v>0.75347222222222221</v>
      </c>
      <c r="E94" s="157">
        <v>46101</v>
      </c>
      <c r="F94" s="155">
        <v>20</v>
      </c>
      <c r="G94" s="158">
        <v>31057</v>
      </c>
      <c r="H94" s="223">
        <f t="shared" si="12"/>
        <v>248</v>
      </c>
      <c r="I94" s="207">
        <f t="shared" si="13"/>
        <v>2.48</v>
      </c>
      <c r="J94" s="155">
        <v>12946</v>
      </c>
    </row>
    <row r="95" spans="2:13" ht="20.25" x14ac:dyDescent="0.35">
      <c r="B95" s="174"/>
      <c r="C95" s="160"/>
      <c r="D95" s="160"/>
      <c r="E95" s="162"/>
      <c r="F95" s="163">
        <f>SUM(F89:F94)</f>
        <v>440</v>
      </c>
      <c r="G95" s="164">
        <f>G94-G88</f>
        <v>1099</v>
      </c>
      <c r="H95" s="165"/>
      <c r="I95" s="165"/>
      <c r="J95" s="165"/>
    </row>
    <row r="96" spans="2:13" ht="20.25" x14ac:dyDescent="0.35">
      <c r="B96" s="174"/>
      <c r="F96" s="169" t="s">
        <v>203</v>
      </c>
      <c r="G96" s="170">
        <f>+G95/F95</f>
        <v>2.4977272727272726</v>
      </c>
      <c r="H96" s="165"/>
    </row>
    <row r="97" spans="2:13" ht="15.75" thickBot="1" x14ac:dyDescent="0.3"/>
    <row r="98" spans="2:13" ht="20.25" x14ac:dyDescent="0.25">
      <c r="B98" s="267" t="s">
        <v>205</v>
      </c>
      <c r="C98" s="267" t="s">
        <v>206</v>
      </c>
      <c r="D98" s="267" t="s">
        <v>23</v>
      </c>
      <c r="E98" s="268" t="s">
        <v>207</v>
      </c>
      <c r="F98" s="267" t="s">
        <v>208</v>
      </c>
      <c r="G98" s="269" t="s">
        <v>209</v>
      </c>
      <c r="H98" s="267" t="s">
        <v>244</v>
      </c>
      <c r="I98" s="267" t="s">
        <v>210</v>
      </c>
      <c r="J98" s="267" t="s">
        <v>211</v>
      </c>
    </row>
    <row r="99" spans="2:13" ht="20.25" x14ac:dyDescent="0.35">
      <c r="B99" s="174"/>
      <c r="C99" s="149" t="s">
        <v>225</v>
      </c>
      <c r="D99" s="150">
        <v>0.71527777777777779</v>
      </c>
      <c r="E99" s="151">
        <v>46094</v>
      </c>
      <c r="F99" s="224">
        <v>1</v>
      </c>
      <c r="G99" s="152">
        <v>502455</v>
      </c>
      <c r="H99" s="149"/>
      <c r="I99" s="208"/>
      <c r="J99" s="149">
        <v>112877</v>
      </c>
      <c r="K99" s="173" t="s">
        <v>212</v>
      </c>
      <c r="L99" s="173"/>
      <c r="M99" s="173"/>
    </row>
    <row r="100" spans="2:13" ht="20.25" x14ac:dyDescent="0.35">
      <c r="B100" s="203" t="s">
        <v>36</v>
      </c>
      <c r="C100" s="155" t="s">
        <v>225</v>
      </c>
      <c r="D100" s="156">
        <v>0.53055555555555556</v>
      </c>
      <c r="E100" s="157">
        <v>46095</v>
      </c>
      <c r="F100" s="214">
        <v>120</v>
      </c>
      <c r="G100" s="158">
        <v>502644</v>
      </c>
      <c r="H100" s="155">
        <f t="shared" ref="H99:H105" si="14">G100-G99</f>
        <v>189</v>
      </c>
      <c r="I100" s="216">
        <f t="shared" ref="I99:I105" si="15">(G100-G99)/F99</f>
        <v>189</v>
      </c>
      <c r="J100" s="155">
        <v>12893</v>
      </c>
    </row>
    <row r="101" spans="2:13" ht="20.25" x14ac:dyDescent="0.35">
      <c r="B101" s="174"/>
      <c r="C101" s="155" t="s">
        <v>225</v>
      </c>
      <c r="D101" s="156">
        <v>0.41805555555555557</v>
      </c>
      <c r="E101" s="157">
        <v>46099</v>
      </c>
      <c r="F101" s="214">
        <v>100</v>
      </c>
      <c r="G101" s="158">
        <v>502916</v>
      </c>
      <c r="H101" s="155">
        <f t="shared" si="14"/>
        <v>272</v>
      </c>
      <c r="I101" s="216">
        <f t="shared" si="15"/>
        <v>2.2666666666666666</v>
      </c>
      <c r="J101" s="217">
        <v>12751</v>
      </c>
    </row>
    <row r="102" spans="2:13" ht="20.25" x14ac:dyDescent="0.35">
      <c r="B102" s="174"/>
      <c r="C102" s="155" t="s">
        <v>225</v>
      </c>
      <c r="D102" s="156">
        <v>0.79652777777777772</v>
      </c>
      <c r="E102" s="157">
        <v>46099</v>
      </c>
      <c r="F102" s="214">
        <v>80</v>
      </c>
      <c r="G102" s="158">
        <v>503072</v>
      </c>
      <c r="H102" s="155">
        <f t="shared" si="14"/>
        <v>156</v>
      </c>
      <c r="I102" s="216">
        <f t="shared" si="15"/>
        <v>1.56</v>
      </c>
      <c r="J102" s="155">
        <v>12915</v>
      </c>
    </row>
    <row r="103" spans="2:13" ht="20.25" x14ac:dyDescent="0.35">
      <c r="B103" s="174"/>
      <c r="C103" s="155" t="s">
        <v>225</v>
      </c>
      <c r="D103" s="156">
        <v>0.7729166666666667</v>
      </c>
      <c r="E103" s="157">
        <v>46100</v>
      </c>
      <c r="F103" s="214">
        <v>50</v>
      </c>
      <c r="G103" s="158">
        <v>503123</v>
      </c>
      <c r="H103" s="155">
        <f t="shared" si="14"/>
        <v>51</v>
      </c>
      <c r="I103" s="216">
        <f t="shared" si="15"/>
        <v>0.63749999999999996</v>
      </c>
      <c r="J103" s="155">
        <v>12929</v>
      </c>
    </row>
    <row r="104" spans="2:13" ht="20.25" x14ac:dyDescent="0.35">
      <c r="B104" s="174"/>
      <c r="C104" s="155" t="s">
        <v>225</v>
      </c>
      <c r="D104" s="156">
        <v>0.74722222222222223</v>
      </c>
      <c r="E104" s="157">
        <v>46101</v>
      </c>
      <c r="F104" s="214">
        <v>5</v>
      </c>
      <c r="G104" s="158">
        <v>503381</v>
      </c>
      <c r="H104" s="155">
        <f t="shared" si="14"/>
        <v>258</v>
      </c>
      <c r="I104" s="216">
        <f t="shared" si="15"/>
        <v>5.16</v>
      </c>
      <c r="J104" s="155">
        <v>12945</v>
      </c>
    </row>
    <row r="105" spans="2:13" ht="20.25" x14ac:dyDescent="0.35">
      <c r="B105" s="174"/>
      <c r="C105" s="165"/>
      <c r="D105" s="165"/>
      <c r="E105" s="168"/>
      <c r="F105" s="221">
        <f>SUM(F100:F104)</f>
        <v>355</v>
      </c>
      <c r="G105" s="164">
        <f>G104-G99</f>
        <v>926</v>
      </c>
      <c r="H105" s="165"/>
      <c r="I105" s="165"/>
      <c r="J105" s="165"/>
    </row>
    <row r="106" spans="2:13" ht="20.25" x14ac:dyDescent="0.35">
      <c r="B106" s="166"/>
      <c r="C106" s="167" t="s">
        <v>202</v>
      </c>
      <c r="D106" s="165"/>
      <c r="E106" s="168"/>
      <c r="F106" s="169" t="s">
        <v>203</v>
      </c>
      <c r="G106" s="170">
        <f>+G105/F105</f>
        <v>2.6084507042253522</v>
      </c>
      <c r="H106" s="165"/>
      <c r="J106" s="165"/>
    </row>
    <row r="107" spans="2:13" ht="20.25" x14ac:dyDescent="0.35">
      <c r="B107" s="148"/>
      <c r="C107" s="152">
        <f>C109+21000</f>
        <v>520562</v>
      </c>
      <c r="E107" s="168"/>
      <c r="F107" s="165"/>
      <c r="G107" s="172"/>
      <c r="H107" s="225"/>
      <c r="J107" s="165"/>
    </row>
    <row r="108" spans="2:13" ht="20.25" x14ac:dyDescent="0.35">
      <c r="B108" s="148"/>
      <c r="C108" s="171" t="s">
        <v>226</v>
      </c>
      <c r="E108" s="168"/>
      <c r="F108" s="165"/>
      <c r="G108" s="172"/>
      <c r="H108" s="226" t="s">
        <v>2</v>
      </c>
      <c r="I108" s="165" t="s">
        <v>2</v>
      </c>
      <c r="J108" s="165"/>
    </row>
    <row r="109" spans="2:13" ht="20.25" x14ac:dyDescent="0.35">
      <c r="B109" s="148"/>
      <c r="C109" s="152">
        <v>499562</v>
      </c>
      <c r="E109" s="168"/>
      <c r="F109" s="165"/>
      <c r="G109" s="172"/>
      <c r="H109" s="226"/>
      <c r="I109" s="165"/>
      <c r="J109" s="165"/>
    </row>
    <row r="110" spans="2:13" ht="15.75" thickBot="1" x14ac:dyDescent="0.3"/>
    <row r="111" spans="2:13" ht="20.25" x14ac:dyDescent="0.25">
      <c r="B111" s="267" t="s">
        <v>205</v>
      </c>
      <c r="C111" s="267" t="s">
        <v>206</v>
      </c>
      <c r="D111" s="267" t="s">
        <v>23</v>
      </c>
      <c r="E111" s="268" t="s">
        <v>207</v>
      </c>
      <c r="F111" s="267" t="s">
        <v>208</v>
      </c>
      <c r="G111" s="269" t="s">
        <v>209</v>
      </c>
      <c r="H111" s="267" t="s">
        <v>244</v>
      </c>
      <c r="I111" s="267" t="s">
        <v>210</v>
      </c>
      <c r="J111" s="267" t="s">
        <v>211</v>
      </c>
    </row>
    <row r="112" spans="2:13" ht="20.25" x14ac:dyDescent="0.35">
      <c r="B112" s="229"/>
      <c r="C112" s="175" t="s">
        <v>227</v>
      </c>
      <c r="D112" s="150">
        <v>0.25763888888888886</v>
      </c>
      <c r="E112" s="151">
        <v>46079</v>
      </c>
      <c r="F112" s="149">
        <v>100</v>
      </c>
      <c r="G112" s="152">
        <v>1021861</v>
      </c>
      <c r="H112" s="149"/>
      <c r="I112" s="230"/>
      <c r="J112" s="149">
        <v>13317</v>
      </c>
      <c r="K112" s="173" t="s">
        <v>212</v>
      </c>
      <c r="L112" s="173"/>
      <c r="M112" s="173"/>
    </row>
    <row r="113" spans="2:13" ht="20.25" x14ac:dyDescent="0.35">
      <c r="B113" s="231" t="s">
        <v>103</v>
      </c>
      <c r="C113" s="176" t="s">
        <v>149</v>
      </c>
      <c r="D113" s="156">
        <v>0.51041666666666663</v>
      </c>
      <c r="E113" s="157">
        <v>46095</v>
      </c>
      <c r="F113" s="155">
        <v>80</v>
      </c>
      <c r="G113" s="158">
        <v>1021921</v>
      </c>
      <c r="H113" s="155">
        <f>G113-G112</f>
        <v>60</v>
      </c>
      <c r="I113" s="232">
        <f t="shared" ref="I112:I119" si="16">(G113-G112)/F112</f>
        <v>0.6</v>
      </c>
      <c r="J113" s="155">
        <v>12891</v>
      </c>
    </row>
    <row r="114" spans="2:13" ht="20.25" x14ac:dyDescent="0.35">
      <c r="B114" s="229"/>
      <c r="C114" s="176" t="s">
        <v>227</v>
      </c>
      <c r="D114" s="156">
        <v>0.4236111111111111</v>
      </c>
      <c r="E114" s="157">
        <v>46099</v>
      </c>
      <c r="F114" s="155">
        <v>100</v>
      </c>
      <c r="G114" s="158">
        <v>1022272</v>
      </c>
      <c r="H114" s="155">
        <v>11</v>
      </c>
      <c r="I114" s="232">
        <f t="shared" si="16"/>
        <v>4.3875000000000002</v>
      </c>
      <c r="J114" s="217">
        <v>12752</v>
      </c>
    </row>
    <row r="115" spans="2:13" ht="20.25" x14ac:dyDescent="0.35">
      <c r="B115" s="229"/>
      <c r="C115" s="176" t="s">
        <v>227</v>
      </c>
      <c r="D115" s="156">
        <v>0.46944444444444444</v>
      </c>
      <c r="E115" s="157">
        <v>46100</v>
      </c>
      <c r="F115" s="155">
        <v>100</v>
      </c>
      <c r="G115" s="158">
        <v>1022504</v>
      </c>
      <c r="H115" s="155">
        <f>G115-G114</f>
        <v>232</v>
      </c>
      <c r="I115" s="232">
        <f t="shared" si="16"/>
        <v>2.3199999999999998</v>
      </c>
      <c r="J115" s="155">
        <v>12767</v>
      </c>
    </row>
    <row r="116" spans="2:13" ht="20.25" x14ac:dyDescent="0.35">
      <c r="B116" s="229"/>
      <c r="C116" s="176" t="s">
        <v>227</v>
      </c>
      <c r="D116" s="156">
        <v>0.24305555555555555</v>
      </c>
      <c r="E116" s="157">
        <v>46101</v>
      </c>
      <c r="F116" s="155">
        <v>100</v>
      </c>
      <c r="G116" s="158">
        <v>1022592</v>
      </c>
      <c r="H116" s="155">
        <f>G116-G115</f>
        <v>88</v>
      </c>
      <c r="I116" s="232">
        <f t="shared" si="16"/>
        <v>0.88</v>
      </c>
      <c r="J116" s="155">
        <v>12773</v>
      </c>
    </row>
    <row r="117" spans="2:13" ht="20.25" x14ac:dyDescent="0.35">
      <c r="B117" s="229"/>
      <c r="C117" s="180" t="s">
        <v>227</v>
      </c>
      <c r="D117" s="181"/>
      <c r="E117" s="182"/>
      <c r="F117" s="183">
        <v>1</v>
      </c>
      <c r="G117" s="184">
        <v>1022749</v>
      </c>
      <c r="H117" s="183"/>
      <c r="I117" s="233"/>
      <c r="J117" s="183" t="s">
        <v>228</v>
      </c>
    </row>
    <row r="118" spans="2:13" ht="20.25" x14ac:dyDescent="0.35">
      <c r="B118" s="166"/>
      <c r="C118" s="165"/>
      <c r="D118" s="165"/>
      <c r="E118" s="168"/>
      <c r="F118" s="163">
        <f>SUM(F113:F117)</f>
        <v>381</v>
      </c>
      <c r="G118" s="164">
        <f>G117-G112</f>
        <v>888</v>
      </c>
      <c r="H118" s="165"/>
      <c r="I118" s="165"/>
      <c r="J118" s="165"/>
    </row>
    <row r="119" spans="2:13" ht="20.25" x14ac:dyDescent="0.35">
      <c r="B119" s="166"/>
      <c r="F119" s="169" t="s">
        <v>203</v>
      </c>
      <c r="G119" s="170">
        <f>+G118/F118</f>
        <v>2.3307086614173227</v>
      </c>
      <c r="H119" s="165"/>
      <c r="I119" s="165"/>
      <c r="J119" s="165"/>
    </row>
    <row r="120" spans="2:13" ht="15.75" thickBot="1" x14ac:dyDescent="0.3"/>
    <row r="121" spans="2:13" ht="20.25" x14ac:dyDescent="0.25">
      <c r="B121" s="267" t="s">
        <v>205</v>
      </c>
      <c r="C121" s="267" t="s">
        <v>206</v>
      </c>
      <c r="D121" s="267" t="s">
        <v>23</v>
      </c>
      <c r="E121" s="268" t="s">
        <v>207</v>
      </c>
      <c r="F121" s="267" t="s">
        <v>208</v>
      </c>
      <c r="G121" s="269" t="s">
        <v>209</v>
      </c>
      <c r="H121" s="267" t="s">
        <v>244</v>
      </c>
      <c r="I121" s="267" t="s">
        <v>210</v>
      </c>
      <c r="J121" s="267" t="s">
        <v>211</v>
      </c>
    </row>
    <row r="122" spans="2:13" ht="20.25" x14ac:dyDescent="0.35">
      <c r="B122" s="174"/>
      <c r="C122" s="175" t="s">
        <v>125</v>
      </c>
      <c r="D122" s="202">
        <v>0.3125</v>
      </c>
      <c r="E122" s="234">
        <v>46094</v>
      </c>
      <c r="F122" s="175">
        <v>50</v>
      </c>
      <c r="G122" s="235">
        <v>41848</v>
      </c>
      <c r="H122" s="149"/>
      <c r="I122" s="230"/>
      <c r="J122" s="175" t="s">
        <v>229</v>
      </c>
      <c r="K122" s="173" t="s">
        <v>212</v>
      </c>
      <c r="L122" s="173"/>
      <c r="M122" s="173"/>
    </row>
    <row r="123" spans="2:13" ht="20.25" x14ac:dyDescent="0.35">
      <c r="B123" s="236" t="s">
        <v>72</v>
      </c>
      <c r="C123" s="176" t="s">
        <v>125</v>
      </c>
      <c r="D123" s="204">
        <v>0.32847222222222222</v>
      </c>
      <c r="E123" s="237">
        <v>46095</v>
      </c>
      <c r="F123" s="176">
        <v>100</v>
      </c>
      <c r="G123" s="215">
        <v>41985</v>
      </c>
      <c r="H123" s="177">
        <f t="shared" ref="H122:H128" si="17">G123-G122</f>
        <v>137</v>
      </c>
      <c r="I123" s="238">
        <f t="shared" ref="I122:I128" si="18">(G123-G122)/F122</f>
        <v>2.74</v>
      </c>
      <c r="J123" s="176">
        <v>12884</v>
      </c>
    </row>
    <row r="124" spans="2:13" ht="20.25" x14ac:dyDescent="0.35">
      <c r="B124" s="174"/>
      <c r="C124" s="176" t="s">
        <v>125</v>
      </c>
      <c r="D124" s="204">
        <v>0.6875</v>
      </c>
      <c r="E124" s="237">
        <v>46098</v>
      </c>
      <c r="F124" s="176">
        <v>100</v>
      </c>
      <c r="G124" s="215">
        <v>42183</v>
      </c>
      <c r="H124" s="177">
        <f t="shared" si="17"/>
        <v>198</v>
      </c>
      <c r="I124" s="238">
        <f t="shared" si="18"/>
        <v>1.98</v>
      </c>
      <c r="J124" s="239">
        <v>11788</v>
      </c>
    </row>
    <row r="125" spans="2:13" ht="20.25" x14ac:dyDescent="0.35">
      <c r="B125" s="174"/>
      <c r="C125" s="176" t="s">
        <v>125</v>
      </c>
      <c r="D125" s="204">
        <v>0.73611111111111116</v>
      </c>
      <c r="E125" s="237">
        <v>46099</v>
      </c>
      <c r="F125" s="176">
        <v>205</v>
      </c>
      <c r="G125" s="215">
        <v>42364</v>
      </c>
      <c r="H125" s="177">
        <f t="shared" si="17"/>
        <v>181</v>
      </c>
      <c r="I125" s="238">
        <f t="shared" si="18"/>
        <v>1.81</v>
      </c>
      <c r="J125" s="176">
        <v>12907</v>
      </c>
    </row>
    <row r="126" spans="2:13" ht="20.25" x14ac:dyDescent="0.35">
      <c r="B126" s="174"/>
      <c r="C126" s="176" t="s">
        <v>125</v>
      </c>
      <c r="D126" s="204">
        <v>0.28472222222222221</v>
      </c>
      <c r="E126" s="237">
        <v>46101</v>
      </c>
      <c r="F126" s="176">
        <v>100</v>
      </c>
      <c r="G126" s="215">
        <v>42517</v>
      </c>
      <c r="H126" s="177">
        <f t="shared" si="17"/>
        <v>153</v>
      </c>
      <c r="I126" s="238">
        <f t="shared" si="18"/>
        <v>0.74634146341463414</v>
      </c>
      <c r="J126" s="176">
        <v>12931</v>
      </c>
    </row>
    <row r="127" spans="2:13" ht="20.25" x14ac:dyDescent="0.35">
      <c r="B127" s="166"/>
      <c r="E127" s="240"/>
      <c r="F127" s="241">
        <f>SUM(F123:F126)</f>
        <v>505</v>
      </c>
      <c r="G127" s="242">
        <f>G126-G122</f>
        <v>669</v>
      </c>
      <c r="H127" s="165"/>
      <c r="I127" s="165"/>
      <c r="J127" s="165"/>
    </row>
    <row r="128" spans="2:13" ht="20.25" x14ac:dyDescent="0.35">
      <c r="B128" s="166"/>
      <c r="E128" s="168"/>
      <c r="F128" s="169" t="s">
        <v>203</v>
      </c>
      <c r="G128" s="170">
        <f>+G127/F127</f>
        <v>1.3247524752475248</v>
      </c>
      <c r="H128" s="165"/>
    </row>
    <row r="129" spans="2:13" ht="15.75" thickBot="1" x14ac:dyDescent="0.3"/>
    <row r="130" spans="2:13" ht="20.25" x14ac:dyDescent="0.25">
      <c r="B130" s="267" t="s">
        <v>205</v>
      </c>
      <c r="C130" s="267" t="s">
        <v>206</v>
      </c>
      <c r="D130" s="267" t="s">
        <v>23</v>
      </c>
      <c r="E130" s="268" t="s">
        <v>207</v>
      </c>
      <c r="F130" s="267" t="s">
        <v>208</v>
      </c>
      <c r="G130" s="269" t="s">
        <v>209</v>
      </c>
      <c r="H130" s="267" t="s">
        <v>244</v>
      </c>
      <c r="I130" s="267" t="s">
        <v>210</v>
      </c>
      <c r="J130" s="267" t="s">
        <v>211</v>
      </c>
    </row>
    <row r="131" spans="2:13" ht="20.25" x14ac:dyDescent="0.35">
      <c r="B131" s="174"/>
      <c r="C131" s="175" t="s">
        <v>230</v>
      </c>
      <c r="D131" s="150">
        <v>0.73958333333333337</v>
      </c>
      <c r="E131" s="151">
        <v>46094</v>
      </c>
      <c r="F131" s="149">
        <v>20</v>
      </c>
      <c r="G131" s="152">
        <v>4750</v>
      </c>
      <c r="H131" s="243"/>
      <c r="I131" s="244"/>
      <c r="J131" s="149">
        <v>12869</v>
      </c>
      <c r="K131" s="173" t="s">
        <v>212</v>
      </c>
      <c r="L131" s="173"/>
      <c r="M131" s="173"/>
    </row>
    <row r="132" spans="2:13" ht="20.25" x14ac:dyDescent="0.35">
      <c r="B132" s="203" t="s">
        <v>32</v>
      </c>
      <c r="C132" s="176" t="s">
        <v>230</v>
      </c>
      <c r="D132" s="156">
        <v>0.28263888888888888</v>
      </c>
      <c r="E132" s="157">
        <v>46095</v>
      </c>
      <c r="F132" s="155">
        <v>100</v>
      </c>
      <c r="G132" s="158">
        <v>4800</v>
      </c>
      <c r="H132" s="245">
        <f t="shared" ref="H131:H138" si="19">G132-G131</f>
        <v>50</v>
      </c>
      <c r="I132" s="246">
        <f t="shared" ref="I131:I138" si="20">(G132-G131)/F131</f>
        <v>2.5</v>
      </c>
      <c r="J132" s="155">
        <v>11775</v>
      </c>
    </row>
    <row r="133" spans="2:13" ht="20.25" x14ac:dyDescent="0.35">
      <c r="B133" s="174"/>
      <c r="C133" s="176" t="s">
        <v>230</v>
      </c>
      <c r="D133" s="156">
        <v>0.58333333333333337</v>
      </c>
      <c r="E133" s="157">
        <v>46095</v>
      </c>
      <c r="F133" s="155">
        <v>100</v>
      </c>
      <c r="G133" s="158">
        <v>4852</v>
      </c>
      <c r="H133" s="245">
        <f t="shared" si="19"/>
        <v>52</v>
      </c>
      <c r="I133" s="246">
        <f t="shared" si="20"/>
        <v>0.52</v>
      </c>
      <c r="J133" s="155">
        <v>12899</v>
      </c>
    </row>
    <row r="134" spans="2:13" ht="20.25" x14ac:dyDescent="0.35">
      <c r="B134" s="174"/>
      <c r="C134" s="176" t="s">
        <v>230</v>
      </c>
      <c r="D134" s="156">
        <v>0.6166666666666667</v>
      </c>
      <c r="E134" s="157">
        <v>46099</v>
      </c>
      <c r="F134" s="155">
        <v>150</v>
      </c>
      <c r="G134" s="158">
        <v>5073</v>
      </c>
      <c r="H134" s="245">
        <f t="shared" si="19"/>
        <v>221</v>
      </c>
      <c r="I134" s="246">
        <f t="shared" si="20"/>
        <v>2.21</v>
      </c>
      <c r="J134" s="155">
        <v>12903</v>
      </c>
    </row>
    <row r="135" spans="2:13" ht="20.25" x14ac:dyDescent="0.35">
      <c r="B135" s="174"/>
      <c r="C135" s="176" t="s">
        <v>230</v>
      </c>
      <c r="D135" s="156">
        <v>0.67777777777777781</v>
      </c>
      <c r="E135" s="157">
        <v>46100</v>
      </c>
      <c r="F135" s="155">
        <v>50</v>
      </c>
      <c r="G135" s="158">
        <v>5434</v>
      </c>
      <c r="H135" s="245">
        <f t="shared" si="19"/>
        <v>361</v>
      </c>
      <c r="I135" s="246">
        <f t="shared" si="20"/>
        <v>2.4066666666666667</v>
      </c>
      <c r="J135" s="155">
        <v>12920</v>
      </c>
    </row>
    <row r="136" spans="2:13" ht="20.25" x14ac:dyDescent="0.35">
      <c r="B136" s="174"/>
      <c r="C136" s="176" t="s">
        <v>230</v>
      </c>
      <c r="D136" s="156">
        <v>0.67361111111111116</v>
      </c>
      <c r="E136" s="157">
        <v>46101</v>
      </c>
      <c r="F136" s="155">
        <v>1</v>
      </c>
      <c r="G136" s="158">
        <v>5713</v>
      </c>
      <c r="H136" s="245">
        <f t="shared" si="19"/>
        <v>279</v>
      </c>
      <c r="I136" s="246">
        <f t="shared" si="20"/>
        <v>5.58</v>
      </c>
      <c r="J136" s="155">
        <v>12934</v>
      </c>
    </row>
    <row r="137" spans="2:13" ht="20.25" x14ac:dyDescent="0.35">
      <c r="B137" s="166"/>
      <c r="C137" s="165"/>
      <c r="D137" s="165"/>
      <c r="E137" s="168"/>
      <c r="F137" s="163">
        <f>SUM(F132:F136)</f>
        <v>401</v>
      </c>
      <c r="G137" s="164">
        <f>G136-G131</f>
        <v>963</v>
      </c>
      <c r="H137" s="160"/>
      <c r="I137" s="165"/>
      <c r="J137" s="165"/>
    </row>
    <row r="138" spans="2:13" ht="20.25" x14ac:dyDescent="0.35">
      <c r="B138" s="166"/>
      <c r="F138" s="169" t="s">
        <v>203</v>
      </c>
      <c r="G138" s="170">
        <f>G137/F137</f>
        <v>2.4014962593516209</v>
      </c>
      <c r="H138" s="165"/>
      <c r="I138" s="165"/>
      <c r="J138" s="165"/>
    </row>
    <row r="139" spans="2:13" ht="15.75" thickBot="1" x14ac:dyDescent="0.3"/>
    <row r="140" spans="2:13" ht="20.25" x14ac:dyDescent="0.25">
      <c r="B140" s="267" t="s">
        <v>205</v>
      </c>
      <c r="C140" s="267" t="s">
        <v>206</v>
      </c>
      <c r="D140" s="267" t="s">
        <v>23</v>
      </c>
      <c r="E140" s="268" t="s">
        <v>207</v>
      </c>
      <c r="F140" s="267" t="s">
        <v>208</v>
      </c>
      <c r="G140" s="269" t="s">
        <v>209</v>
      </c>
      <c r="H140" s="267" t="s">
        <v>244</v>
      </c>
      <c r="I140" s="267" t="s">
        <v>210</v>
      </c>
      <c r="J140" s="267" t="s">
        <v>211</v>
      </c>
    </row>
    <row r="141" spans="2:13" ht="20.25" x14ac:dyDescent="0.35">
      <c r="B141" s="166"/>
      <c r="C141" s="175" t="s">
        <v>231</v>
      </c>
      <c r="D141" s="150">
        <v>0.74305555555555558</v>
      </c>
      <c r="E141" s="151">
        <v>46094</v>
      </c>
      <c r="F141" s="149">
        <v>20</v>
      </c>
      <c r="G141" s="152">
        <v>54014</v>
      </c>
      <c r="H141" s="149"/>
      <c r="I141" s="230"/>
      <c r="J141" s="149">
        <v>12868</v>
      </c>
      <c r="K141" s="173" t="s">
        <v>212</v>
      </c>
      <c r="L141" s="173"/>
      <c r="M141" s="173"/>
    </row>
    <row r="142" spans="2:13" ht="20.25" x14ac:dyDescent="0.35">
      <c r="B142" s="154" t="s">
        <v>33</v>
      </c>
      <c r="C142" s="176" t="s">
        <v>231</v>
      </c>
      <c r="D142" s="156">
        <v>0.27500000000000002</v>
      </c>
      <c r="E142" s="157">
        <v>46095</v>
      </c>
      <c r="F142" s="155">
        <v>100</v>
      </c>
      <c r="G142" s="158">
        <v>54139</v>
      </c>
      <c r="H142" s="177">
        <f>G142-G141</f>
        <v>125</v>
      </c>
      <c r="I142" s="238">
        <f t="shared" ref="I141:I146" si="21">(G142-G141)/F141</f>
        <v>6.25</v>
      </c>
      <c r="J142" s="155">
        <v>11774</v>
      </c>
    </row>
    <row r="143" spans="2:13" ht="20.25" x14ac:dyDescent="0.35">
      <c r="B143" s="166"/>
      <c r="C143" s="176" t="s">
        <v>231</v>
      </c>
      <c r="D143" s="156">
        <v>0.56111111111111112</v>
      </c>
      <c r="E143" s="157">
        <v>46095</v>
      </c>
      <c r="F143" s="155">
        <v>100</v>
      </c>
      <c r="G143" s="158">
        <v>54238</v>
      </c>
      <c r="H143" s="177">
        <f>G143-G142</f>
        <v>99</v>
      </c>
      <c r="I143" s="238">
        <f t="shared" si="21"/>
        <v>0.99</v>
      </c>
      <c r="J143" s="155">
        <v>12897</v>
      </c>
    </row>
    <row r="144" spans="2:13" ht="20.25" x14ac:dyDescent="0.35">
      <c r="B144" s="166"/>
      <c r="C144" s="176" t="s">
        <v>231</v>
      </c>
      <c r="D144" s="156">
        <v>0.72222222222222221</v>
      </c>
      <c r="E144" s="157">
        <v>46098</v>
      </c>
      <c r="F144" s="155">
        <v>100</v>
      </c>
      <c r="G144" s="158">
        <v>54458</v>
      </c>
      <c r="H144" s="177">
        <v>53080</v>
      </c>
      <c r="I144" s="238">
        <f t="shared" si="21"/>
        <v>2.2000000000000002</v>
      </c>
      <c r="J144" s="179">
        <v>11793</v>
      </c>
    </row>
    <row r="145" spans="2:13" ht="20.25" x14ac:dyDescent="0.35">
      <c r="B145" s="166"/>
      <c r="C145" s="176" t="s">
        <v>231</v>
      </c>
      <c r="D145" s="156">
        <v>0.76597222222222228</v>
      </c>
      <c r="E145" s="157">
        <v>46099</v>
      </c>
      <c r="F145" s="155">
        <v>100</v>
      </c>
      <c r="G145" s="158">
        <v>54716</v>
      </c>
      <c r="H145" s="177">
        <f>G145-G144</f>
        <v>258</v>
      </c>
      <c r="I145" s="238">
        <f t="shared" si="21"/>
        <v>2.58</v>
      </c>
      <c r="J145" s="155">
        <v>12911</v>
      </c>
    </row>
    <row r="146" spans="2:13" ht="20.25" x14ac:dyDescent="0.35">
      <c r="B146" s="166"/>
      <c r="C146" s="176" t="s">
        <v>231</v>
      </c>
      <c r="D146" s="156">
        <v>0.72361111111111109</v>
      </c>
      <c r="E146" s="157">
        <v>46100</v>
      </c>
      <c r="F146" s="155">
        <v>30</v>
      </c>
      <c r="G146" s="158">
        <v>54981</v>
      </c>
      <c r="H146" s="177">
        <f>G146-G145</f>
        <v>265</v>
      </c>
      <c r="I146" s="238">
        <f t="shared" si="21"/>
        <v>2.65</v>
      </c>
      <c r="J146" s="155">
        <v>12924</v>
      </c>
    </row>
    <row r="147" spans="2:13" ht="20.25" x14ac:dyDescent="0.35">
      <c r="B147" s="166"/>
      <c r="C147" s="165"/>
      <c r="D147" s="165"/>
      <c r="E147" s="168"/>
      <c r="F147" s="163">
        <f>SUM(F142:F146)</f>
        <v>430</v>
      </c>
      <c r="G147" s="164">
        <f>G146-G141</f>
        <v>967</v>
      </c>
      <c r="H147" s="165"/>
      <c r="I147" s="165"/>
      <c r="J147" s="165"/>
    </row>
    <row r="148" spans="2:13" ht="20.25" x14ac:dyDescent="0.35">
      <c r="B148" s="166"/>
      <c r="E148" s="168"/>
      <c r="F148" s="169" t="s">
        <v>203</v>
      </c>
      <c r="G148" s="170">
        <f>G147/F147</f>
        <v>2.2488372093023257</v>
      </c>
      <c r="H148" s="165"/>
      <c r="I148" s="165"/>
      <c r="J148" s="165"/>
    </row>
    <row r="149" spans="2:13" ht="15.75" thickBot="1" x14ac:dyDescent="0.3"/>
    <row r="150" spans="2:13" ht="20.25" x14ac:dyDescent="0.25">
      <c r="B150" s="267" t="s">
        <v>205</v>
      </c>
      <c r="C150" s="267" t="s">
        <v>206</v>
      </c>
      <c r="D150" s="267" t="s">
        <v>23</v>
      </c>
      <c r="E150" s="268" t="s">
        <v>207</v>
      </c>
      <c r="F150" s="267" t="s">
        <v>208</v>
      </c>
      <c r="G150" s="269" t="s">
        <v>209</v>
      </c>
      <c r="H150" s="267" t="s">
        <v>244</v>
      </c>
      <c r="I150" s="267" t="s">
        <v>210</v>
      </c>
      <c r="J150" s="267" t="s">
        <v>211</v>
      </c>
    </row>
    <row r="151" spans="2:13" ht="20.25" x14ac:dyDescent="0.35">
      <c r="B151" s="154" t="s">
        <v>82</v>
      </c>
      <c r="C151" s="247" t="s">
        <v>232</v>
      </c>
      <c r="D151" s="248">
        <v>0.70347222222222228</v>
      </c>
      <c r="E151" s="249">
        <v>46092</v>
      </c>
      <c r="F151" s="247">
        <v>120</v>
      </c>
      <c r="G151" s="187">
        <v>76066</v>
      </c>
      <c r="H151" s="149">
        <f>G151-G149</f>
        <v>76066</v>
      </c>
      <c r="I151" s="230" t="e">
        <f>(G151-G149)/F149</f>
        <v>#DIV/0!</v>
      </c>
      <c r="J151" s="247">
        <v>12687</v>
      </c>
      <c r="K151" s="173" t="s">
        <v>212</v>
      </c>
      <c r="L151" s="173"/>
      <c r="M151" s="173"/>
    </row>
    <row r="152" spans="2:13" ht="20.25" x14ac:dyDescent="0.35">
      <c r="B152" s="154" t="s">
        <v>82</v>
      </c>
      <c r="C152" s="155" t="s">
        <v>149</v>
      </c>
      <c r="D152" s="156">
        <v>0.69236111111111109</v>
      </c>
      <c r="E152" s="157">
        <v>46100</v>
      </c>
      <c r="F152" s="155">
        <v>100</v>
      </c>
      <c r="G152" s="158">
        <v>76248</v>
      </c>
      <c r="H152" s="177">
        <f>G152-G151</f>
        <v>182</v>
      </c>
      <c r="I152" s="238">
        <f>(G152-G151)/F151</f>
        <v>1.5166666666666666</v>
      </c>
      <c r="J152" s="155">
        <v>12921</v>
      </c>
    </row>
    <row r="153" spans="2:13" ht="20.25" x14ac:dyDescent="0.35">
      <c r="B153" s="166"/>
      <c r="C153" s="165"/>
      <c r="D153" s="165"/>
      <c r="E153" s="168"/>
      <c r="F153" s="163">
        <v>100</v>
      </c>
      <c r="G153" s="164">
        <f>G152-G151</f>
        <v>182</v>
      </c>
      <c r="H153" s="165"/>
      <c r="I153" s="165" t="s">
        <v>2</v>
      </c>
      <c r="J153" s="225"/>
    </row>
    <row r="154" spans="2:13" ht="20.25" x14ac:dyDescent="0.35">
      <c r="B154" s="166"/>
      <c r="E154" s="168"/>
      <c r="F154" s="169" t="s">
        <v>203</v>
      </c>
      <c r="G154" s="170">
        <f>+G153/F153</f>
        <v>1.82</v>
      </c>
      <c r="H154" s="165"/>
      <c r="I154" s="165"/>
      <c r="J154" s="165"/>
    </row>
    <row r="156" spans="2:13" ht="15.75" thickBot="1" x14ac:dyDescent="0.3"/>
    <row r="157" spans="2:13" ht="20.25" x14ac:dyDescent="0.25">
      <c r="B157" s="267" t="s">
        <v>205</v>
      </c>
      <c r="C157" s="267" t="s">
        <v>206</v>
      </c>
      <c r="D157" s="267" t="s">
        <v>23</v>
      </c>
      <c r="E157" s="268" t="s">
        <v>207</v>
      </c>
      <c r="F157" s="267" t="s">
        <v>208</v>
      </c>
      <c r="G157" s="269" t="s">
        <v>209</v>
      </c>
      <c r="H157" s="267" t="s">
        <v>244</v>
      </c>
      <c r="I157" s="267" t="s">
        <v>210</v>
      </c>
      <c r="J157" s="267" t="s">
        <v>211</v>
      </c>
    </row>
    <row r="158" spans="2:13" ht="20.25" x14ac:dyDescent="0.35">
      <c r="B158" s="166"/>
      <c r="C158" s="149" t="s">
        <v>233</v>
      </c>
      <c r="D158" s="150"/>
      <c r="E158" s="151">
        <v>46094</v>
      </c>
      <c r="F158" s="149">
        <v>38</v>
      </c>
      <c r="G158" s="152">
        <v>779059</v>
      </c>
      <c r="H158" s="149"/>
      <c r="I158" s="230"/>
      <c r="J158" s="149">
        <v>12867</v>
      </c>
      <c r="K158" s="173" t="s">
        <v>212</v>
      </c>
      <c r="L158" s="173"/>
      <c r="M158" s="173"/>
    </row>
    <row r="159" spans="2:13" ht="20.25" x14ac:dyDescent="0.35">
      <c r="B159" s="154" t="s">
        <v>55</v>
      </c>
      <c r="C159" s="155" t="s">
        <v>233</v>
      </c>
      <c r="D159" s="156">
        <v>0.2986111111111111</v>
      </c>
      <c r="E159" s="157">
        <v>46095</v>
      </c>
      <c r="F159" s="155">
        <v>100</v>
      </c>
      <c r="G159" s="158">
        <v>779091</v>
      </c>
      <c r="H159" s="177">
        <f t="shared" ref="H158:H163" si="22">G159-G158</f>
        <v>32</v>
      </c>
      <c r="I159" s="238">
        <f t="shared" ref="I158:I163" si="23">(G159-G158)/F158</f>
        <v>0.84210526315789469</v>
      </c>
      <c r="J159" s="155">
        <v>11776</v>
      </c>
    </row>
    <row r="160" spans="2:13" ht="20.25" x14ac:dyDescent="0.35">
      <c r="B160" s="166"/>
      <c r="C160" s="155" t="s">
        <v>233</v>
      </c>
      <c r="D160" s="156">
        <v>0.24236111111111111</v>
      </c>
      <c r="E160" s="157">
        <v>46098</v>
      </c>
      <c r="F160" s="155">
        <v>100</v>
      </c>
      <c r="G160" s="158">
        <v>779423</v>
      </c>
      <c r="H160" s="177">
        <f t="shared" si="22"/>
        <v>332</v>
      </c>
      <c r="I160" s="238">
        <f t="shared" si="23"/>
        <v>3.32</v>
      </c>
      <c r="J160" s="179">
        <v>11796</v>
      </c>
    </row>
    <row r="161" spans="2:13" ht="20.25" x14ac:dyDescent="0.35">
      <c r="B161" s="166"/>
      <c r="C161" s="155" t="s">
        <v>233</v>
      </c>
      <c r="D161" s="156">
        <v>0.74236111111111114</v>
      </c>
      <c r="E161" s="157">
        <v>46099</v>
      </c>
      <c r="F161" s="155">
        <v>220</v>
      </c>
      <c r="G161" s="158">
        <v>779685</v>
      </c>
      <c r="H161" s="177">
        <f t="shared" si="22"/>
        <v>262</v>
      </c>
      <c r="I161" s="238">
        <f t="shared" si="23"/>
        <v>2.62</v>
      </c>
      <c r="J161" s="155">
        <v>12908</v>
      </c>
    </row>
    <row r="162" spans="2:13" ht="20.25" x14ac:dyDescent="0.35">
      <c r="B162" s="166"/>
      <c r="C162" s="155" t="s">
        <v>233</v>
      </c>
      <c r="D162" s="156">
        <v>0.26805555555555555</v>
      </c>
      <c r="E162" s="157">
        <v>46101</v>
      </c>
      <c r="F162" s="155">
        <v>30</v>
      </c>
      <c r="G162" s="158">
        <v>780009</v>
      </c>
      <c r="H162" s="177">
        <f t="shared" si="22"/>
        <v>324</v>
      </c>
      <c r="I162" s="238">
        <f t="shared" si="23"/>
        <v>1.4727272727272727</v>
      </c>
      <c r="J162" s="155">
        <v>12777</v>
      </c>
    </row>
    <row r="163" spans="2:13" ht="20.25" x14ac:dyDescent="0.35">
      <c r="B163" s="166"/>
      <c r="C163" s="155" t="s">
        <v>233</v>
      </c>
      <c r="D163" s="156">
        <v>0.71527777777777779</v>
      </c>
      <c r="E163" s="157">
        <v>46101</v>
      </c>
      <c r="F163" s="155">
        <v>15</v>
      </c>
      <c r="G163" s="158">
        <v>780177</v>
      </c>
      <c r="H163" s="177">
        <f t="shared" si="22"/>
        <v>168</v>
      </c>
      <c r="I163" s="238">
        <f t="shared" si="23"/>
        <v>5.6</v>
      </c>
      <c r="J163" s="155">
        <v>12940</v>
      </c>
    </row>
    <row r="164" spans="2:13" ht="20.25" x14ac:dyDescent="0.35">
      <c r="B164" s="166"/>
      <c r="C164" s="160"/>
      <c r="D164" s="161"/>
      <c r="E164" s="162"/>
      <c r="F164" s="163">
        <v>515</v>
      </c>
      <c r="G164" s="164">
        <f>G163-G158</f>
        <v>1118</v>
      </c>
      <c r="H164" s="174"/>
      <c r="I164" s="250"/>
      <c r="J164" s="160"/>
    </row>
    <row r="165" spans="2:13" ht="20.25" x14ac:dyDescent="0.35">
      <c r="B165" s="166"/>
      <c r="E165" s="168"/>
      <c r="F165" s="169" t="s">
        <v>203</v>
      </c>
      <c r="G165" s="170">
        <f>+G164/F164</f>
        <v>2.1708737864077672</v>
      </c>
      <c r="H165" s="165" t="s">
        <v>2</v>
      </c>
      <c r="I165" s="165"/>
      <c r="J165" s="166"/>
    </row>
    <row r="166" spans="2:13" ht="15.75" thickBot="1" x14ac:dyDescent="0.3"/>
    <row r="167" spans="2:13" ht="20.25" x14ac:dyDescent="0.25">
      <c r="B167" s="267" t="s">
        <v>205</v>
      </c>
      <c r="C167" s="267" t="s">
        <v>206</v>
      </c>
      <c r="D167" s="267" t="s">
        <v>23</v>
      </c>
      <c r="E167" s="268" t="s">
        <v>207</v>
      </c>
      <c r="F167" s="267" t="s">
        <v>208</v>
      </c>
      <c r="G167" s="269" t="s">
        <v>209</v>
      </c>
      <c r="H167" s="267" t="s">
        <v>244</v>
      </c>
      <c r="I167" s="267" t="s">
        <v>210</v>
      </c>
      <c r="J167" s="267" t="s">
        <v>211</v>
      </c>
    </row>
    <row r="168" spans="2:13" ht="20.25" x14ac:dyDescent="0.35">
      <c r="B168" s="229"/>
      <c r="C168" s="149" t="s">
        <v>234</v>
      </c>
      <c r="D168" s="150">
        <v>0.6791666666666667</v>
      </c>
      <c r="E168" s="151">
        <v>46094</v>
      </c>
      <c r="F168" s="149">
        <v>80</v>
      </c>
      <c r="G168" s="152">
        <v>431141</v>
      </c>
      <c r="H168" s="149"/>
      <c r="I168" s="230"/>
      <c r="J168" s="149">
        <v>12873</v>
      </c>
      <c r="K168" s="173" t="s">
        <v>212</v>
      </c>
      <c r="L168" s="173"/>
      <c r="M168" s="173"/>
    </row>
    <row r="169" spans="2:13" ht="20.25" x14ac:dyDescent="0.35">
      <c r="B169" s="251" t="s">
        <v>57</v>
      </c>
      <c r="C169" s="155" t="s">
        <v>234</v>
      </c>
      <c r="D169" s="156">
        <v>0.54166666666666663</v>
      </c>
      <c r="E169" s="157">
        <v>46095</v>
      </c>
      <c r="F169" s="155">
        <v>100</v>
      </c>
      <c r="G169" s="223">
        <v>431273</v>
      </c>
      <c r="H169" s="177">
        <f t="shared" ref="H168:H172" si="24">G169-G168</f>
        <v>132</v>
      </c>
      <c r="I169" s="238">
        <f t="shared" ref="I168:I172" si="25">(G169-G168)/F168</f>
        <v>1.65</v>
      </c>
      <c r="J169" s="155">
        <v>12894</v>
      </c>
    </row>
    <row r="170" spans="2:13" ht="20.25" x14ac:dyDescent="0.35">
      <c r="B170" s="229"/>
      <c r="C170" s="155" t="s">
        <v>234</v>
      </c>
      <c r="D170" s="156">
        <v>0.75138888888888888</v>
      </c>
      <c r="E170" s="157">
        <v>46099</v>
      </c>
      <c r="F170" s="155">
        <v>150</v>
      </c>
      <c r="G170" s="223">
        <v>431715</v>
      </c>
      <c r="H170" s="177">
        <f t="shared" si="24"/>
        <v>442</v>
      </c>
      <c r="I170" s="238">
        <f t="shared" si="25"/>
        <v>4.42</v>
      </c>
      <c r="J170" s="155">
        <v>12909</v>
      </c>
    </row>
    <row r="171" spans="2:13" ht="20.25" x14ac:dyDescent="0.35">
      <c r="B171" s="229"/>
      <c r="C171" s="155" t="s">
        <v>234</v>
      </c>
      <c r="D171" s="156">
        <v>0.26597222222222222</v>
      </c>
      <c r="E171" s="157">
        <v>46101</v>
      </c>
      <c r="F171" s="155">
        <v>100</v>
      </c>
      <c r="G171" s="223">
        <v>432021</v>
      </c>
      <c r="H171" s="177">
        <f t="shared" si="24"/>
        <v>306</v>
      </c>
      <c r="I171" s="238">
        <f t="shared" si="25"/>
        <v>2.04</v>
      </c>
      <c r="J171" s="155">
        <v>12776</v>
      </c>
    </row>
    <row r="172" spans="2:13" ht="20.25" x14ac:dyDescent="0.35">
      <c r="B172" s="229"/>
      <c r="C172" s="155" t="s">
        <v>234</v>
      </c>
      <c r="D172" s="156">
        <v>0.73958333333333337</v>
      </c>
      <c r="E172" s="157">
        <v>46101</v>
      </c>
      <c r="F172" s="155">
        <v>100</v>
      </c>
      <c r="G172" s="223">
        <v>432246</v>
      </c>
      <c r="H172" s="177">
        <f t="shared" si="24"/>
        <v>225</v>
      </c>
      <c r="I172" s="238">
        <f t="shared" si="25"/>
        <v>2.25</v>
      </c>
      <c r="J172" s="155">
        <v>12944</v>
      </c>
    </row>
    <row r="173" spans="2:13" ht="20.25" x14ac:dyDescent="0.35">
      <c r="B173" s="166"/>
      <c r="C173" s="165"/>
      <c r="D173" s="165"/>
      <c r="E173" s="168"/>
      <c r="F173" s="163">
        <f>SUM(F169:F172)</f>
        <v>450</v>
      </c>
      <c r="G173" s="164">
        <f>G172-G168</f>
        <v>1105</v>
      </c>
      <c r="H173" s="174"/>
      <c r="I173" s="250"/>
      <c r="J173" s="165"/>
    </row>
    <row r="174" spans="2:13" ht="20.25" x14ac:dyDescent="0.35">
      <c r="B174" s="166"/>
      <c r="F174" s="169" t="s">
        <v>203</v>
      </c>
      <c r="G174" s="170">
        <f>+G173/F173</f>
        <v>2.4555555555555557</v>
      </c>
      <c r="H174" s="165"/>
      <c r="I174" s="165"/>
      <c r="J174" s="165"/>
    </row>
    <row r="176" spans="2:13" ht="15.75" thickBot="1" x14ac:dyDescent="0.3"/>
    <row r="177" spans="2:13" ht="20.25" x14ac:dyDescent="0.25">
      <c r="B177" s="267" t="s">
        <v>205</v>
      </c>
      <c r="C177" s="267" t="s">
        <v>206</v>
      </c>
      <c r="D177" s="267" t="s">
        <v>23</v>
      </c>
      <c r="E177" s="268" t="s">
        <v>207</v>
      </c>
      <c r="F177" s="267" t="s">
        <v>208</v>
      </c>
      <c r="G177" s="269" t="s">
        <v>209</v>
      </c>
      <c r="H177" s="267" t="s">
        <v>244</v>
      </c>
      <c r="I177" s="267" t="s">
        <v>210</v>
      </c>
      <c r="J177" s="267" t="s">
        <v>211</v>
      </c>
    </row>
    <row r="178" spans="2:13" ht="20.25" x14ac:dyDescent="0.35">
      <c r="B178" s="166"/>
      <c r="C178" s="252" t="s">
        <v>235</v>
      </c>
      <c r="D178" s="253"/>
      <c r="E178" s="254"/>
      <c r="F178" s="252">
        <v>1</v>
      </c>
      <c r="G178" s="255">
        <v>52877</v>
      </c>
      <c r="H178" s="252"/>
      <c r="I178" s="256"/>
      <c r="J178" s="252" t="s">
        <v>236</v>
      </c>
      <c r="K178" s="173" t="s">
        <v>212</v>
      </c>
      <c r="L178" s="173"/>
      <c r="M178" s="173"/>
    </row>
    <row r="179" spans="2:13" ht="20.25" x14ac:dyDescent="0.35">
      <c r="B179" s="251" t="s">
        <v>56</v>
      </c>
      <c r="C179" s="155" t="s">
        <v>235</v>
      </c>
      <c r="D179" s="156">
        <v>0.48749999999999999</v>
      </c>
      <c r="E179" s="157">
        <v>46095</v>
      </c>
      <c r="F179" s="155">
        <v>100</v>
      </c>
      <c r="G179" s="158">
        <v>53018</v>
      </c>
      <c r="H179" s="155">
        <f t="shared" ref="H178:H183" si="26">G179-G178</f>
        <v>141</v>
      </c>
      <c r="I179" s="232">
        <f>(G179-G178)/F178</f>
        <v>141</v>
      </c>
      <c r="J179" s="155">
        <v>12889</v>
      </c>
    </row>
    <row r="180" spans="2:13" ht="20.25" x14ac:dyDescent="0.35">
      <c r="B180" s="148"/>
      <c r="C180" s="155" t="s">
        <v>235</v>
      </c>
      <c r="D180" s="156">
        <v>0.66736111111111107</v>
      </c>
      <c r="E180" s="157">
        <v>46099</v>
      </c>
      <c r="F180" s="155">
        <v>200</v>
      </c>
      <c r="G180" s="257">
        <v>53018</v>
      </c>
      <c r="H180" s="155">
        <f t="shared" si="26"/>
        <v>0</v>
      </c>
      <c r="I180" s="232">
        <f>(G180-G179)/F179</f>
        <v>0</v>
      </c>
      <c r="J180" s="155">
        <v>12905</v>
      </c>
    </row>
    <row r="181" spans="2:13" ht="20.25" x14ac:dyDescent="0.35">
      <c r="B181" s="148"/>
      <c r="C181" s="155" t="s">
        <v>235</v>
      </c>
      <c r="D181" s="156">
        <v>0.69236111111111109</v>
      </c>
      <c r="E181" s="157">
        <v>46101</v>
      </c>
      <c r="F181" s="155">
        <v>100</v>
      </c>
      <c r="G181" s="158">
        <v>53969</v>
      </c>
      <c r="H181" s="155">
        <f t="shared" si="26"/>
        <v>951</v>
      </c>
      <c r="I181" s="232">
        <f>(G181-G180)/F180</f>
        <v>4.7549999999999999</v>
      </c>
      <c r="J181" s="155">
        <v>12937</v>
      </c>
    </row>
    <row r="182" spans="2:13" ht="20.25" x14ac:dyDescent="0.35">
      <c r="B182" s="166"/>
      <c r="C182" s="165"/>
      <c r="D182" s="165"/>
      <c r="E182" s="168"/>
      <c r="F182" s="258">
        <f>SUM(F179:F181)</f>
        <v>400</v>
      </c>
      <c r="G182" s="259">
        <f>G181-G178</f>
        <v>1092</v>
      </c>
      <c r="H182" s="260"/>
      <c r="I182" s="165"/>
      <c r="J182" s="165"/>
    </row>
    <row r="183" spans="2:13" ht="20.25" x14ac:dyDescent="0.35">
      <c r="B183" s="166"/>
      <c r="C183" s="165"/>
      <c r="D183" s="165"/>
      <c r="E183" s="168"/>
      <c r="F183" s="169" t="s">
        <v>203</v>
      </c>
      <c r="G183" s="170">
        <f>+G182/F182</f>
        <v>2.73</v>
      </c>
      <c r="H183" s="165"/>
      <c r="I183" s="165"/>
      <c r="J183" s="165"/>
    </row>
    <row r="185" spans="2:13" ht="15.75" thickBot="1" x14ac:dyDescent="0.3"/>
    <row r="186" spans="2:13" ht="20.25" x14ac:dyDescent="0.25">
      <c r="B186" s="267" t="s">
        <v>205</v>
      </c>
      <c r="C186" s="267" t="s">
        <v>206</v>
      </c>
      <c r="D186" s="267" t="s">
        <v>23</v>
      </c>
      <c r="E186" s="268" t="s">
        <v>207</v>
      </c>
      <c r="F186" s="267" t="s">
        <v>208</v>
      </c>
      <c r="G186" s="269" t="s">
        <v>209</v>
      </c>
      <c r="H186" s="267" t="s">
        <v>244</v>
      </c>
      <c r="I186" s="267" t="s">
        <v>210</v>
      </c>
      <c r="J186" s="267" t="s">
        <v>211</v>
      </c>
    </row>
    <row r="187" spans="2:13" ht="20.25" x14ac:dyDescent="0.35">
      <c r="B187" s="166"/>
      <c r="C187" s="149" t="s">
        <v>139</v>
      </c>
      <c r="D187" s="150">
        <v>0.7583333333333333</v>
      </c>
      <c r="E187" s="151">
        <v>46094</v>
      </c>
      <c r="F187" s="149">
        <v>1</v>
      </c>
      <c r="G187" s="152">
        <v>69331</v>
      </c>
      <c r="H187" s="149"/>
      <c r="I187" s="230"/>
      <c r="J187" s="149">
        <v>12882</v>
      </c>
      <c r="K187" s="173" t="s">
        <v>212</v>
      </c>
      <c r="L187" s="173"/>
      <c r="M187" s="173"/>
    </row>
    <row r="188" spans="2:13" ht="20.25" x14ac:dyDescent="0.35">
      <c r="B188" s="236" t="s">
        <v>20</v>
      </c>
      <c r="C188" s="155" t="s">
        <v>139</v>
      </c>
      <c r="D188" s="156">
        <v>0.32291666666666669</v>
      </c>
      <c r="E188" s="157">
        <v>46095</v>
      </c>
      <c r="F188" s="155">
        <v>100</v>
      </c>
      <c r="G188" s="158">
        <v>69331</v>
      </c>
      <c r="H188" s="177">
        <f t="shared" ref="H187:H192" si="27">G188-G187</f>
        <v>0</v>
      </c>
      <c r="I188" s="238">
        <f t="shared" ref="I187:I192" si="28">(G188-G187)/F187</f>
        <v>0</v>
      </c>
      <c r="J188" s="155">
        <v>12885</v>
      </c>
    </row>
    <row r="189" spans="2:13" ht="20.25" x14ac:dyDescent="0.35">
      <c r="B189" s="166"/>
      <c r="C189" s="155" t="s">
        <v>139</v>
      </c>
      <c r="D189" s="156">
        <v>0.24513888888888888</v>
      </c>
      <c r="E189" s="157">
        <v>46099</v>
      </c>
      <c r="F189" s="155">
        <v>55</v>
      </c>
      <c r="G189" s="158">
        <v>69631</v>
      </c>
      <c r="H189" s="177">
        <f t="shared" si="27"/>
        <v>300</v>
      </c>
      <c r="I189" s="238">
        <f t="shared" si="28"/>
        <v>3</v>
      </c>
      <c r="J189" s="179">
        <v>11799</v>
      </c>
    </row>
    <row r="190" spans="2:13" ht="20.25" x14ac:dyDescent="0.35">
      <c r="B190" s="166"/>
      <c r="C190" s="155" t="s">
        <v>139</v>
      </c>
      <c r="D190" s="156">
        <v>0.42638888888888887</v>
      </c>
      <c r="E190" s="157">
        <v>46099</v>
      </c>
      <c r="F190" s="155">
        <v>45</v>
      </c>
      <c r="G190" s="158">
        <v>69723</v>
      </c>
      <c r="H190" s="177">
        <f t="shared" si="27"/>
        <v>92</v>
      </c>
      <c r="I190" s="238">
        <f t="shared" si="28"/>
        <v>1.6727272727272726</v>
      </c>
      <c r="J190" s="217">
        <v>12753</v>
      </c>
    </row>
    <row r="191" spans="2:13" ht="20.25" x14ac:dyDescent="0.35">
      <c r="B191" s="166"/>
      <c r="C191" s="155" t="s">
        <v>139</v>
      </c>
      <c r="D191" s="156">
        <v>0.23958333333333334</v>
      </c>
      <c r="E191" s="157">
        <v>46100</v>
      </c>
      <c r="F191" s="155">
        <v>100</v>
      </c>
      <c r="G191" s="158">
        <v>69871</v>
      </c>
      <c r="H191" s="177">
        <f t="shared" si="27"/>
        <v>148</v>
      </c>
      <c r="I191" s="238">
        <f t="shared" si="28"/>
        <v>3.2888888888888888</v>
      </c>
      <c r="J191" s="155">
        <v>12763</v>
      </c>
    </row>
    <row r="192" spans="2:13" ht="20.25" x14ac:dyDescent="0.35">
      <c r="B192" s="166"/>
      <c r="C192" s="183" t="s">
        <v>139</v>
      </c>
      <c r="D192" s="181"/>
      <c r="E192" s="182"/>
      <c r="F192" s="183"/>
      <c r="G192" s="184">
        <v>70185</v>
      </c>
      <c r="H192" s="261">
        <f t="shared" si="27"/>
        <v>314</v>
      </c>
      <c r="I192" s="262">
        <f t="shared" si="28"/>
        <v>3.14</v>
      </c>
      <c r="J192" s="183"/>
    </row>
    <row r="193" spans="2:13" ht="20.25" x14ac:dyDescent="0.35">
      <c r="B193" s="166"/>
      <c r="C193" s="165"/>
      <c r="D193" s="165"/>
      <c r="E193" s="168"/>
      <c r="F193" s="163">
        <f>SUM(F188:F192)</f>
        <v>300</v>
      </c>
      <c r="G193" s="164">
        <f>G192-G187</f>
        <v>854</v>
      </c>
      <c r="H193" s="165"/>
      <c r="I193" s="165"/>
      <c r="J193" s="165"/>
    </row>
    <row r="194" spans="2:13" ht="20.25" x14ac:dyDescent="0.35">
      <c r="B194" s="166"/>
      <c r="E194" s="168"/>
      <c r="F194" s="169" t="s">
        <v>203</v>
      </c>
      <c r="G194" s="170">
        <f>+G193/F193</f>
        <v>2.8466666666666667</v>
      </c>
      <c r="H194" s="165" t="s">
        <v>2</v>
      </c>
      <c r="I194" s="165"/>
      <c r="J194" s="165"/>
    </row>
    <row r="195" spans="2:13" ht="15.75" thickBot="1" x14ac:dyDescent="0.3"/>
    <row r="196" spans="2:13" ht="20.25" x14ac:dyDescent="0.25">
      <c r="B196" s="267" t="s">
        <v>205</v>
      </c>
      <c r="C196" s="267" t="s">
        <v>206</v>
      </c>
      <c r="D196" s="267" t="s">
        <v>23</v>
      </c>
      <c r="E196" s="268" t="s">
        <v>207</v>
      </c>
      <c r="F196" s="267" t="s">
        <v>208</v>
      </c>
      <c r="G196" s="269" t="s">
        <v>209</v>
      </c>
      <c r="H196" s="267" t="s">
        <v>244</v>
      </c>
      <c r="I196" s="267" t="s">
        <v>210</v>
      </c>
      <c r="J196" s="267" t="s">
        <v>211</v>
      </c>
    </row>
    <row r="197" spans="2:13" ht="20.25" x14ac:dyDescent="0.35">
      <c r="B197" s="148"/>
      <c r="C197" s="183" t="s">
        <v>237</v>
      </c>
      <c r="D197" s="181"/>
      <c r="E197" s="182"/>
      <c r="F197" s="263">
        <v>1</v>
      </c>
      <c r="G197" s="184">
        <v>114595</v>
      </c>
      <c r="H197" s="183"/>
      <c r="I197" s="262"/>
      <c r="J197" s="183" t="s">
        <v>238</v>
      </c>
      <c r="K197" s="173" t="s">
        <v>212</v>
      </c>
      <c r="L197" s="173"/>
      <c r="M197" s="173"/>
    </row>
    <row r="198" spans="2:13" ht="20.25" x14ac:dyDescent="0.35">
      <c r="B198" s="236" t="s">
        <v>48</v>
      </c>
      <c r="C198" s="155" t="s">
        <v>237</v>
      </c>
      <c r="D198" s="156">
        <v>0.43263888888888891</v>
      </c>
      <c r="E198" s="157">
        <v>46095</v>
      </c>
      <c r="F198" s="264">
        <v>100</v>
      </c>
      <c r="G198" s="158">
        <v>114669</v>
      </c>
      <c r="H198" s="158">
        <f>G198-G197</f>
        <v>74</v>
      </c>
      <c r="I198" s="238">
        <f>(G198-G197)/F197</f>
        <v>74</v>
      </c>
      <c r="J198" s="155">
        <v>12887</v>
      </c>
    </row>
    <row r="199" spans="2:13" ht="20.25" x14ac:dyDescent="0.35">
      <c r="B199" s="148"/>
      <c r="C199" s="155" t="s">
        <v>237</v>
      </c>
      <c r="D199" s="156">
        <v>0.58819444444444446</v>
      </c>
      <c r="E199" s="157">
        <v>46099</v>
      </c>
      <c r="F199" s="264">
        <v>150</v>
      </c>
      <c r="G199" s="158">
        <v>115062</v>
      </c>
      <c r="H199" s="155">
        <f>G199-G198</f>
        <v>393</v>
      </c>
      <c r="I199" s="238">
        <f>(G199-G198)/F198</f>
        <v>3.93</v>
      </c>
      <c r="J199" s="217">
        <v>12759</v>
      </c>
    </row>
    <row r="200" spans="2:13" ht="20.25" x14ac:dyDescent="0.35">
      <c r="B200" s="148"/>
      <c r="C200" s="155" t="s">
        <v>237</v>
      </c>
      <c r="D200" s="156"/>
      <c r="E200" s="157">
        <v>46101</v>
      </c>
      <c r="F200" s="264">
        <v>100</v>
      </c>
      <c r="G200" s="158">
        <v>115370</v>
      </c>
      <c r="H200" s="155">
        <f>G200-G199</f>
        <v>308</v>
      </c>
      <c r="I200" s="238">
        <f>(G200-G199)/F199</f>
        <v>2.0533333333333332</v>
      </c>
      <c r="J200" s="155">
        <v>12775</v>
      </c>
    </row>
    <row r="201" spans="2:13" ht="20.25" x14ac:dyDescent="0.35">
      <c r="B201" s="148"/>
      <c r="C201" s="183" t="s">
        <v>237</v>
      </c>
      <c r="D201" s="181"/>
      <c r="E201" s="182"/>
      <c r="F201" s="263"/>
      <c r="G201" s="184">
        <v>115577</v>
      </c>
      <c r="H201" s="183">
        <f>G201-G200</f>
        <v>207</v>
      </c>
      <c r="I201" s="262">
        <f>(G201-G200)/F200</f>
        <v>2.0699999999999998</v>
      </c>
      <c r="J201" s="183"/>
    </row>
    <row r="202" spans="2:13" ht="20.25" x14ac:dyDescent="0.35">
      <c r="B202" s="166"/>
      <c r="C202" s="165"/>
      <c r="D202" s="165"/>
      <c r="E202" s="168"/>
      <c r="F202" s="221">
        <f>SUM(F198:F201)</f>
        <v>350</v>
      </c>
      <c r="G202" s="164">
        <f>G201-G197</f>
        <v>982</v>
      </c>
      <c r="H202" s="160"/>
      <c r="I202" s="160"/>
      <c r="J202" s="165"/>
    </row>
    <row r="203" spans="2:13" ht="20.25" x14ac:dyDescent="0.35">
      <c r="B203" s="166"/>
      <c r="C203" s="167" t="s">
        <v>202</v>
      </c>
      <c r="E203" s="168"/>
      <c r="F203" s="169" t="s">
        <v>203</v>
      </c>
      <c r="G203" s="170">
        <f>+G202/F202</f>
        <v>2.8057142857142856</v>
      </c>
      <c r="H203" s="165"/>
      <c r="I203" s="166"/>
      <c r="J203" s="165"/>
    </row>
    <row r="204" spans="2:13" ht="20.25" x14ac:dyDescent="0.35">
      <c r="B204" s="166"/>
      <c r="C204" s="152">
        <f>C206+21000</f>
        <v>135670</v>
      </c>
      <c r="E204" s="168"/>
      <c r="F204" s="165"/>
      <c r="G204" s="172"/>
      <c r="H204" s="165"/>
      <c r="I204" s="165"/>
      <c r="J204" s="165"/>
    </row>
    <row r="205" spans="2:13" ht="20.25" x14ac:dyDescent="0.35">
      <c r="B205" s="166"/>
      <c r="C205" s="171" t="s">
        <v>239</v>
      </c>
      <c r="E205" s="168"/>
      <c r="F205" s="165"/>
      <c r="G205" s="172"/>
      <c r="H205" s="165"/>
      <c r="I205" s="165"/>
      <c r="J205" s="165"/>
    </row>
    <row r="206" spans="2:13" ht="20.25" x14ac:dyDescent="0.35">
      <c r="B206" s="166"/>
      <c r="C206" s="152">
        <v>114670</v>
      </c>
      <c r="E206" s="168"/>
      <c r="F206" s="165"/>
      <c r="G206" s="172"/>
      <c r="H206" s="165"/>
      <c r="I206" s="165"/>
      <c r="J206" s="165"/>
    </row>
    <row r="207" spans="2:13" ht="15.75" thickBot="1" x14ac:dyDescent="0.3"/>
    <row r="208" spans="2:13" ht="20.25" x14ac:dyDescent="0.25">
      <c r="B208" s="267" t="s">
        <v>205</v>
      </c>
      <c r="C208" s="267" t="s">
        <v>206</v>
      </c>
      <c r="D208" s="267" t="s">
        <v>23</v>
      </c>
      <c r="E208" s="268" t="s">
        <v>207</v>
      </c>
      <c r="F208" s="267" t="s">
        <v>208</v>
      </c>
      <c r="G208" s="269" t="s">
        <v>209</v>
      </c>
      <c r="H208" s="267" t="s">
        <v>244</v>
      </c>
      <c r="I208" s="267" t="s">
        <v>210</v>
      </c>
      <c r="J208" s="267" t="s">
        <v>211</v>
      </c>
    </row>
    <row r="209" spans="2:13" ht="20.25" x14ac:dyDescent="0.35">
      <c r="B209" s="148"/>
      <c r="C209" s="181" t="s">
        <v>240</v>
      </c>
      <c r="D209" s="181"/>
      <c r="E209" s="182"/>
      <c r="F209" s="183">
        <v>1</v>
      </c>
      <c r="G209" s="184">
        <v>124398</v>
      </c>
      <c r="H209" s="265"/>
      <c r="I209" s="262"/>
      <c r="J209" s="183" t="s">
        <v>241</v>
      </c>
      <c r="K209" s="173" t="s">
        <v>212</v>
      </c>
      <c r="L209" s="173"/>
      <c r="M209" s="173"/>
    </row>
    <row r="210" spans="2:13" ht="20.25" x14ac:dyDescent="0.35">
      <c r="B210" s="266" t="s">
        <v>51</v>
      </c>
      <c r="C210" s="156" t="s">
        <v>240</v>
      </c>
      <c r="D210" s="156">
        <v>0.45833333333333331</v>
      </c>
      <c r="E210" s="157">
        <v>46095</v>
      </c>
      <c r="F210" s="155">
        <v>100</v>
      </c>
      <c r="G210" s="158">
        <v>124492</v>
      </c>
      <c r="H210" s="177">
        <f t="shared" ref="H209:H215" si="29">G210-G209</f>
        <v>94</v>
      </c>
      <c r="I210" s="238">
        <f t="shared" ref="I209:I215" si="30">(G210-G209)/F209</f>
        <v>94</v>
      </c>
      <c r="J210" s="155">
        <v>12888</v>
      </c>
    </row>
    <row r="211" spans="2:13" ht="20.25" x14ac:dyDescent="0.35">
      <c r="B211" s="148"/>
      <c r="C211" s="156" t="s">
        <v>240</v>
      </c>
      <c r="D211" s="156">
        <v>0.59861111111111109</v>
      </c>
      <c r="E211" s="157">
        <v>46099</v>
      </c>
      <c r="F211" s="155">
        <v>150</v>
      </c>
      <c r="G211" s="158">
        <v>124849</v>
      </c>
      <c r="H211" s="223">
        <f t="shared" si="29"/>
        <v>357</v>
      </c>
      <c r="I211" s="238">
        <f t="shared" si="30"/>
        <v>3.57</v>
      </c>
      <c r="J211" s="155">
        <v>12760</v>
      </c>
    </row>
    <row r="212" spans="2:13" ht="20.25" x14ac:dyDescent="0.35">
      <c r="B212" s="148"/>
      <c r="C212" s="156" t="s">
        <v>240</v>
      </c>
      <c r="D212" s="156">
        <v>0.24861111111111112</v>
      </c>
      <c r="E212" s="157">
        <v>46101</v>
      </c>
      <c r="F212" s="155">
        <v>100</v>
      </c>
      <c r="G212" s="158">
        <v>125157</v>
      </c>
      <c r="H212" s="223">
        <f t="shared" si="29"/>
        <v>308</v>
      </c>
      <c r="I212" s="238">
        <f t="shared" si="30"/>
        <v>2.0533333333333332</v>
      </c>
      <c r="J212" s="155">
        <v>12774</v>
      </c>
    </row>
    <row r="213" spans="2:13" ht="20.25" x14ac:dyDescent="0.35">
      <c r="B213" s="148"/>
      <c r="C213" s="181" t="s">
        <v>240</v>
      </c>
      <c r="D213" s="181"/>
      <c r="E213" s="182"/>
      <c r="F213" s="183"/>
      <c r="G213" s="184">
        <v>125358</v>
      </c>
      <c r="H213" s="265"/>
      <c r="I213" s="262"/>
      <c r="J213" s="183" t="s">
        <v>241</v>
      </c>
    </row>
    <row r="214" spans="2:13" ht="20.25" x14ac:dyDescent="0.35">
      <c r="B214" s="166"/>
      <c r="C214" s="165"/>
      <c r="D214" s="165"/>
      <c r="E214" s="168"/>
      <c r="F214" s="163">
        <f>SUM(F210:F213)</f>
        <v>350</v>
      </c>
      <c r="G214" s="164">
        <f>G213-G209</f>
        <v>960</v>
      </c>
      <c r="H214" s="165"/>
      <c r="I214" s="165"/>
      <c r="J214" s="165"/>
    </row>
    <row r="215" spans="2:13" ht="20.25" x14ac:dyDescent="0.35">
      <c r="B215" s="166"/>
      <c r="E215" s="168"/>
      <c r="F215" s="169" t="s">
        <v>203</v>
      </c>
      <c r="G215" s="170">
        <f>+G214/F214</f>
        <v>2.7428571428571429</v>
      </c>
      <c r="H215" s="165"/>
      <c r="I215" s="165"/>
      <c r="J215" s="165"/>
    </row>
    <row r="217" spans="2:13" ht="15.75" thickBot="1" x14ac:dyDescent="0.3"/>
    <row r="218" spans="2:13" ht="20.25" x14ac:dyDescent="0.25">
      <c r="B218" s="267" t="s">
        <v>205</v>
      </c>
      <c r="C218" s="267" t="s">
        <v>206</v>
      </c>
      <c r="D218" s="267" t="s">
        <v>23</v>
      </c>
      <c r="E218" s="268" t="s">
        <v>207</v>
      </c>
      <c r="F218" s="267" t="s">
        <v>208</v>
      </c>
      <c r="G218" s="269" t="s">
        <v>209</v>
      </c>
      <c r="H218" s="267" t="s">
        <v>244</v>
      </c>
      <c r="I218" s="267" t="s">
        <v>210</v>
      </c>
      <c r="J218" s="267" t="s">
        <v>211</v>
      </c>
    </row>
    <row r="219" spans="2:13" ht="20.25" x14ac:dyDescent="0.35">
      <c r="B219" s="174"/>
      <c r="C219" s="149" t="s">
        <v>73</v>
      </c>
      <c r="D219" s="150"/>
      <c r="E219" s="151">
        <v>46035</v>
      </c>
      <c r="F219" s="224">
        <v>1</v>
      </c>
      <c r="G219" s="152">
        <v>13202</v>
      </c>
      <c r="H219" s="149"/>
      <c r="I219" s="208"/>
      <c r="J219" s="149">
        <v>11771</v>
      </c>
      <c r="K219" s="173" t="s">
        <v>212</v>
      </c>
      <c r="L219" s="173"/>
      <c r="M219" s="173"/>
    </row>
    <row r="220" spans="2:13" ht="20.25" x14ac:dyDescent="0.35">
      <c r="B220" s="203" t="s">
        <v>38</v>
      </c>
      <c r="C220" s="155" t="s">
        <v>73</v>
      </c>
      <c r="D220" s="156"/>
      <c r="E220" s="157">
        <v>46095</v>
      </c>
      <c r="F220" s="214">
        <v>100</v>
      </c>
      <c r="G220" s="223">
        <v>13299</v>
      </c>
      <c r="H220" s="155">
        <f t="shared" ref="H219:H225" si="31">G220-G219</f>
        <v>97</v>
      </c>
      <c r="I220" s="216" t="e">
        <f t="shared" ref="I219:I223" si="32">(G220-G218)/F218</f>
        <v>#VALUE!</v>
      </c>
      <c r="J220" s="155">
        <v>11778</v>
      </c>
    </row>
    <row r="221" spans="2:13" ht="20.25" x14ac:dyDescent="0.35">
      <c r="B221" s="174"/>
      <c r="C221" s="155" t="s">
        <v>73</v>
      </c>
      <c r="D221" s="156">
        <v>0.57986111111111116</v>
      </c>
      <c r="E221" s="157">
        <v>46099</v>
      </c>
      <c r="F221" s="214">
        <v>100</v>
      </c>
      <c r="G221" s="223">
        <v>13670</v>
      </c>
      <c r="H221" s="155">
        <f t="shared" si="31"/>
        <v>371</v>
      </c>
      <c r="I221" s="216">
        <f t="shared" si="32"/>
        <v>468</v>
      </c>
      <c r="J221" s="155">
        <v>12758</v>
      </c>
    </row>
    <row r="222" spans="2:13" ht="20.25" x14ac:dyDescent="0.35">
      <c r="B222" s="174"/>
      <c r="C222" s="155" t="s">
        <v>73</v>
      </c>
      <c r="D222" s="156">
        <v>0.27916666666666667</v>
      </c>
      <c r="E222" s="157">
        <v>46101</v>
      </c>
      <c r="F222" s="214">
        <v>100</v>
      </c>
      <c r="G222" s="223">
        <v>13953</v>
      </c>
      <c r="H222" s="155">
        <f t="shared" si="31"/>
        <v>283</v>
      </c>
      <c r="I222" s="216">
        <f t="shared" si="32"/>
        <v>6.54</v>
      </c>
      <c r="J222" s="155">
        <v>12778</v>
      </c>
    </row>
    <row r="223" spans="2:13" ht="20.25" x14ac:dyDescent="0.35">
      <c r="B223" s="174"/>
      <c r="C223" s="183" t="s">
        <v>73</v>
      </c>
      <c r="D223" s="181"/>
      <c r="E223" s="182"/>
      <c r="F223" s="211"/>
      <c r="G223" s="265">
        <v>14096</v>
      </c>
      <c r="H223" s="183">
        <f t="shared" si="31"/>
        <v>143</v>
      </c>
      <c r="I223" s="213">
        <f t="shared" si="32"/>
        <v>4.26</v>
      </c>
      <c r="J223" s="183"/>
    </row>
    <row r="224" spans="2:13" ht="20.25" x14ac:dyDescent="0.35">
      <c r="B224" s="174" t="s">
        <v>2</v>
      </c>
      <c r="C224" s="165"/>
      <c r="D224" s="165"/>
      <c r="E224" s="168"/>
      <c r="F224" s="221">
        <f>SUM(F220:F223)</f>
        <v>300</v>
      </c>
      <c r="G224" s="164">
        <f>G223-G219</f>
        <v>894</v>
      </c>
      <c r="H224" s="165"/>
      <c r="I224" s="165"/>
      <c r="J224" s="165"/>
    </row>
    <row r="226" spans="2:13" ht="21" thickBot="1" x14ac:dyDescent="0.4">
      <c r="B226" s="166"/>
      <c r="E226" s="168"/>
      <c r="F226" s="169" t="s">
        <v>203</v>
      </c>
      <c r="G226" s="170">
        <f>+G224/F224</f>
        <v>2.98</v>
      </c>
    </row>
    <row r="227" spans="2:13" ht="20.25" x14ac:dyDescent="0.25">
      <c r="B227" s="267" t="s">
        <v>205</v>
      </c>
      <c r="C227" s="267" t="s">
        <v>206</v>
      </c>
      <c r="D227" s="267" t="s">
        <v>23</v>
      </c>
      <c r="E227" s="268" t="s">
        <v>207</v>
      </c>
      <c r="F227" s="267" t="s">
        <v>208</v>
      </c>
      <c r="G227" s="269" t="s">
        <v>209</v>
      </c>
      <c r="H227" s="267" t="s">
        <v>244</v>
      </c>
      <c r="I227" s="267" t="s">
        <v>210</v>
      </c>
      <c r="J227" s="267" t="s">
        <v>211</v>
      </c>
    </row>
    <row r="228" spans="2:13" ht="20.25" x14ac:dyDescent="0.35">
      <c r="B228" s="174"/>
      <c r="C228" s="149" t="s">
        <v>243</v>
      </c>
      <c r="D228" s="150">
        <v>0.71944444444444444</v>
      </c>
      <c r="E228" s="151">
        <v>46094</v>
      </c>
      <c r="F228" s="224">
        <v>10</v>
      </c>
      <c r="G228" s="152">
        <v>8127</v>
      </c>
      <c r="H228" s="152"/>
      <c r="I228" s="208"/>
      <c r="J228" s="149">
        <v>12878</v>
      </c>
      <c r="K228" s="173" t="s">
        <v>212</v>
      </c>
      <c r="L228" s="173"/>
      <c r="M228" s="173"/>
    </row>
    <row r="229" spans="2:13" ht="20.25" x14ac:dyDescent="0.35">
      <c r="B229" s="203" t="s">
        <v>40</v>
      </c>
      <c r="C229" s="155" t="s">
        <v>243</v>
      </c>
      <c r="D229" s="156">
        <v>0.625</v>
      </c>
      <c r="E229" s="157">
        <v>46095</v>
      </c>
      <c r="F229" s="214">
        <v>100</v>
      </c>
      <c r="G229" s="223">
        <v>8265</v>
      </c>
      <c r="H229" s="158">
        <f t="shared" ref="H228:H233" si="33">G229-G228</f>
        <v>138</v>
      </c>
      <c r="I229" s="216">
        <f t="shared" ref="I228:I233" si="34">(G229-G228)/F228</f>
        <v>13.8</v>
      </c>
      <c r="J229" s="155">
        <v>12901</v>
      </c>
    </row>
    <row r="230" spans="2:13" ht="20.25" x14ac:dyDescent="0.35">
      <c r="B230" s="174"/>
      <c r="C230" s="155" t="s">
        <v>243</v>
      </c>
      <c r="D230" s="156">
        <v>0.71875</v>
      </c>
      <c r="E230" s="157">
        <v>46098</v>
      </c>
      <c r="F230" s="214">
        <v>100</v>
      </c>
      <c r="G230" s="223">
        <v>8449</v>
      </c>
      <c r="H230" s="158">
        <f t="shared" si="33"/>
        <v>184</v>
      </c>
      <c r="I230" s="216">
        <f t="shared" si="34"/>
        <v>1.84</v>
      </c>
      <c r="J230" s="155">
        <v>11792</v>
      </c>
    </row>
    <row r="231" spans="2:13" ht="20.25" x14ac:dyDescent="0.35">
      <c r="B231" s="174"/>
      <c r="C231" s="155" t="s">
        <v>243</v>
      </c>
      <c r="D231" s="156">
        <v>0.47291666666666665</v>
      </c>
      <c r="E231" s="157">
        <v>46100</v>
      </c>
      <c r="F231" s="214">
        <v>100</v>
      </c>
      <c r="G231" s="223">
        <v>8800</v>
      </c>
      <c r="H231" s="158">
        <f t="shared" si="33"/>
        <v>351</v>
      </c>
      <c r="I231" s="216">
        <f t="shared" si="34"/>
        <v>3.51</v>
      </c>
      <c r="J231" s="155">
        <v>12768</v>
      </c>
    </row>
    <row r="232" spans="2:13" ht="20.25" x14ac:dyDescent="0.35">
      <c r="B232" s="174"/>
      <c r="C232" s="155" t="s">
        <v>243</v>
      </c>
      <c r="D232" s="156">
        <v>0.77083333333333337</v>
      </c>
      <c r="E232" s="157">
        <v>46100</v>
      </c>
      <c r="F232" s="214">
        <v>80</v>
      </c>
      <c r="G232" s="223">
        <v>8911</v>
      </c>
      <c r="H232" s="158">
        <f t="shared" si="33"/>
        <v>111</v>
      </c>
      <c r="I232" s="216">
        <f t="shared" si="34"/>
        <v>1.1100000000000001</v>
      </c>
      <c r="J232" s="155">
        <v>12928</v>
      </c>
    </row>
    <row r="233" spans="2:13" ht="20.25" x14ac:dyDescent="0.35">
      <c r="B233" s="174"/>
      <c r="C233" s="155" t="s">
        <v>243</v>
      </c>
      <c r="D233" s="156">
        <v>0.73124999999999996</v>
      </c>
      <c r="E233" s="157">
        <v>46101</v>
      </c>
      <c r="F233" s="214">
        <v>5</v>
      </c>
      <c r="G233" s="223">
        <v>9116</v>
      </c>
      <c r="H233" s="158">
        <f>G233-G232</f>
        <v>205</v>
      </c>
      <c r="I233" s="216">
        <f>(G233-G232)/F232</f>
        <v>2.5625</v>
      </c>
      <c r="J233" s="155">
        <v>12942</v>
      </c>
    </row>
    <row r="234" spans="2:13" ht="20.25" x14ac:dyDescent="0.35">
      <c r="B234" s="174" t="s">
        <v>2</v>
      </c>
      <c r="C234" s="165"/>
      <c r="D234" s="165"/>
      <c r="E234" s="168"/>
      <c r="F234" s="221">
        <f>SUM(F229:F233)</f>
        <v>385</v>
      </c>
      <c r="G234" s="164">
        <f>G233-G228</f>
        <v>989</v>
      </c>
      <c r="H234" s="165"/>
      <c r="I234" s="165"/>
      <c r="J234" s="165"/>
    </row>
    <row r="235" spans="2:13" ht="20.25" x14ac:dyDescent="0.35">
      <c r="B235" s="148"/>
      <c r="E235" s="168"/>
      <c r="F235" s="169" t="s">
        <v>203</v>
      </c>
      <c r="G235" s="170">
        <f>+G234/F234</f>
        <v>2.5688311688311689</v>
      </c>
      <c r="H235" s="165"/>
      <c r="I235" s="165"/>
      <c r="J235" s="165"/>
    </row>
    <row r="237" spans="2:13" ht="15.75" thickBot="1" x14ac:dyDescent="0.3"/>
    <row r="238" spans="2:13" ht="20.25" x14ac:dyDescent="0.25">
      <c r="B238" s="267" t="s">
        <v>205</v>
      </c>
      <c r="C238" s="267" t="s">
        <v>206</v>
      </c>
      <c r="D238" s="267" t="s">
        <v>23</v>
      </c>
      <c r="E238" s="268" t="s">
        <v>207</v>
      </c>
      <c r="F238" s="267" t="s">
        <v>208</v>
      </c>
      <c r="G238" s="269" t="s">
        <v>209</v>
      </c>
      <c r="H238" s="267" t="s">
        <v>244</v>
      </c>
      <c r="I238" s="267" t="s">
        <v>210</v>
      </c>
      <c r="J238" s="267" t="s">
        <v>211</v>
      </c>
    </row>
    <row r="239" spans="2:13" ht="20.25" x14ac:dyDescent="0.35">
      <c r="B239" s="203" t="s">
        <v>158</v>
      </c>
      <c r="C239" s="247" t="s">
        <v>149</v>
      </c>
      <c r="D239" s="248">
        <v>0.46041666666666664</v>
      </c>
      <c r="E239" s="249">
        <v>46101</v>
      </c>
      <c r="F239" s="270">
        <v>60</v>
      </c>
      <c r="G239" s="223">
        <v>0</v>
      </c>
      <c r="H239" s="247">
        <f>G239-G253</f>
        <v>0</v>
      </c>
      <c r="I239" s="271" t="e">
        <f>(G239-G253)/F253</f>
        <v>#DIV/0!</v>
      </c>
      <c r="J239" s="247">
        <v>12932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B9B0-FB02-40C9-89A6-470C90674C2F}">
  <sheetPr>
    <tabColor rgb="FFFFC000"/>
  </sheetPr>
  <dimension ref="A1:LY644"/>
  <sheetViews>
    <sheetView topLeftCell="FH30" workbookViewId="0">
      <selection activeCell="FN56" sqref="FN56"/>
    </sheetView>
  </sheetViews>
  <sheetFormatPr baseColWidth="10" defaultRowHeight="15.75" x14ac:dyDescent="0.25"/>
  <cols>
    <col min="1" max="1" width="10.85546875" style="880" customWidth="1"/>
    <col min="2" max="2" width="26.28515625" style="348" customWidth="1"/>
    <col min="3" max="3" width="26.28515625" style="348" hidden="1" customWidth="1"/>
    <col min="4" max="4" width="21.5703125" style="348" customWidth="1"/>
    <col min="5" max="5" width="13.42578125" style="348" customWidth="1"/>
    <col min="6" max="6" width="12.7109375" style="348" customWidth="1"/>
    <col min="7" max="7" width="12" style="348" bestFit="1" customWidth="1"/>
    <col min="8" max="8" width="21.140625" style="348" customWidth="1"/>
    <col min="9" max="9" width="17.28515625" style="348" customWidth="1"/>
    <col min="10" max="10" width="16.28515625" style="348" customWidth="1"/>
    <col min="11" max="11" width="16" style="348" customWidth="1"/>
    <col min="12" max="21" width="11.85546875" style="348" customWidth="1"/>
    <col min="22" max="22" width="15.5703125" style="348" customWidth="1"/>
    <col min="23" max="23" width="11.85546875" style="348" customWidth="1"/>
    <col min="24" max="24" width="14.140625" style="348" customWidth="1"/>
    <col min="25" max="25" width="14.5703125" style="348" bestFit="1" customWidth="1"/>
    <col min="26" max="26" width="30" style="348" customWidth="1"/>
    <col min="27" max="27" width="26.7109375" style="348" customWidth="1"/>
    <col min="28" max="28" width="24" style="348" customWidth="1"/>
    <col min="29" max="34" width="12" style="348" customWidth="1"/>
    <col min="35" max="35" width="18.42578125" style="348" bestFit="1" customWidth="1"/>
    <col min="36" max="36" width="12" style="348" bestFit="1" customWidth="1"/>
    <col min="37" max="37" width="19" style="348" customWidth="1"/>
    <col min="38" max="38" width="11.42578125" style="348" customWidth="1"/>
    <col min="39" max="39" width="24.85546875" style="348" bestFit="1" customWidth="1"/>
    <col min="40" max="45" width="11.42578125" style="348" customWidth="1"/>
    <col min="46" max="46" width="11.85546875" style="348" bestFit="1" customWidth="1"/>
    <col min="47" max="47" width="12.140625" style="348" bestFit="1" customWidth="1"/>
    <col min="48" max="48" width="19.42578125" style="348" bestFit="1" customWidth="1"/>
    <col min="49" max="49" width="11.42578125" style="348" customWidth="1"/>
    <col min="50" max="50" width="24" style="348" customWidth="1"/>
    <col min="51" max="52" width="12" style="348" customWidth="1"/>
    <col min="53" max="53" width="12" style="349" customWidth="1"/>
    <col min="54" max="55" width="12" style="350" customWidth="1"/>
    <col min="56" max="56" width="12" style="348" customWidth="1"/>
    <col min="57" max="57" width="12" style="348" bestFit="1" customWidth="1"/>
    <col min="58" max="58" width="18.42578125" style="348" bestFit="1" customWidth="1"/>
    <col min="59" max="59" width="18.140625" style="348" customWidth="1"/>
    <col min="60" max="61" width="12" style="348" customWidth="1"/>
    <col min="62" max="63" width="11.42578125" style="348"/>
    <col min="64" max="64" width="12" style="348" bestFit="1" customWidth="1"/>
    <col min="65" max="65" width="12.42578125" style="348" bestFit="1" customWidth="1"/>
    <col min="66" max="67" width="12" style="348" bestFit="1" customWidth="1"/>
    <col min="68" max="68" width="19" style="348" customWidth="1"/>
    <col min="69" max="69" width="11.85546875" style="348" customWidth="1"/>
    <col min="70" max="70" width="13.85546875" style="348" customWidth="1"/>
    <col min="71" max="71" width="15.85546875" style="348" customWidth="1"/>
    <col min="72" max="72" width="18.5703125" style="348" customWidth="1"/>
    <col min="73" max="74" width="11.42578125" style="348"/>
    <col min="75" max="75" width="12" style="348" bestFit="1" customWidth="1"/>
    <col min="76" max="76" width="12.7109375" style="348" bestFit="1" customWidth="1"/>
    <col min="77" max="78" width="12" style="348" bestFit="1" customWidth="1"/>
    <col min="79" max="79" width="18.5703125" style="348" customWidth="1"/>
    <col min="80" max="80" width="12" style="348" bestFit="1" customWidth="1"/>
    <col min="81" max="81" width="13.85546875" style="348" customWidth="1"/>
    <col min="82" max="82" width="18.85546875" style="348" customWidth="1"/>
    <col min="83" max="84" width="17.5703125" style="348" customWidth="1"/>
    <col min="85" max="85" width="12.5703125" style="348" customWidth="1"/>
    <col min="86" max="86" width="12" style="348" bestFit="1" customWidth="1"/>
    <col min="87" max="87" width="12.42578125" style="348" bestFit="1" customWidth="1"/>
    <col min="88" max="89" width="12" style="348" bestFit="1" customWidth="1"/>
    <col min="90" max="90" width="11.140625" style="351" customWidth="1"/>
    <col min="91" max="91" width="12" style="348" bestFit="1" customWidth="1"/>
    <col min="92" max="92" width="14.140625" style="348" customWidth="1"/>
    <col min="93" max="93" width="15.7109375" style="348" customWidth="1"/>
    <col min="94" max="94" width="14.28515625" style="348" customWidth="1"/>
    <col min="95" max="95" width="11.85546875" style="348" customWidth="1"/>
    <col min="96" max="96" width="13.42578125" style="348" customWidth="1"/>
    <col min="97" max="100" width="11.85546875" style="348" customWidth="1"/>
    <col min="101" max="101" width="11.85546875" style="352" customWidth="1"/>
    <col min="102" max="103" width="11.85546875" style="348" customWidth="1"/>
    <col min="104" max="104" width="19.7109375" style="348" customWidth="1"/>
    <col min="105" max="105" width="20.140625" style="348" customWidth="1"/>
    <col min="106" max="107" width="11.42578125" style="348"/>
    <col min="108" max="108" width="11.5703125" style="348" bestFit="1" customWidth="1"/>
    <col min="109" max="109" width="12.42578125" style="348" bestFit="1" customWidth="1"/>
    <col min="110" max="111" width="11.5703125" style="348" bestFit="1" customWidth="1"/>
    <col min="112" max="112" width="10.5703125" style="353" customWidth="1"/>
    <col min="113" max="113" width="11.5703125" style="348" bestFit="1" customWidth="1"/>
    <col min="114" max="114" width="17.5703125" style="348" customWidth="1"/>
    <col min="115" max="115" width="16.5703125" style="348" customWidth="1"/>
    <col min="116" max="116" width="17.7109375" style="348" bestFit="1" customWidth="1"/>
    <col min="117" max="117" width="10.85546875" style="348" customWidth="1"/>
    <col min="118" max="118" width="24.28515625" style="348" customWidth="1"/>
    <col min="119" max="119" width="11.5703125" style="348" bestFit="1" customWidth="1"/>
    <col min="120" max="120" width="14.28515625" style="348" customWidth="1"/>
    <col min="121" max="121" width="11.5703125" style="348" bestFit="1" customWidth="1"/>
    <col min="122" max="122" width="13.7109375" style="348" customWidth="1"/>
    <col min="123" max="123" width="17.28515625" style="348" customWidth="1"/>
    <col min="124" max="124" width="11.5703125" style="348" bestFit="1" customWidth="1"/>
    <col min="125" max="125" width="17.28515625" style="348" customWidth="1"/>
    <col min="126" max="126" width="20.85546875" style="348" customWidth="1"/>
    <col min="127" max="127" width="58.28515625" style="348" customWidth="1"/>
    <col min="128" max="128" width="23.5703125" style="348" customWidth="1"/>
    <col min="129" max="129" width="8.28515625" style="348" customWidth="1"/>
    <col min="130" max="130" width="9.5703125" style="348" customWidth="1"/>
    <col min="131" max="131" width="11.85546875" style="348" customWidth="1"/>
    <col min="132" max="132" width="12.85546875" style="348" customWidth="1"/>
    <col min="133" max="133" width="15.85546875" style="348" customWidth="1"/>
    <col min="134" max="134" width="9.42578125" style="348" customWidth="1"/>
    <col min="135" max="135" width="15.140625" style="348" customWidth="1"/>
    <col min="136" max="136" width="20.85546875" style="348" customWidth="1"/>
    <col min="137" max="137" width="31.5703125" style="348" customWidth="1"/>
    <col min="138" max="139" width="11.42578125" style="348"/>
    <col min="140" max="140" width="18.42578125" style="348" customWidth="1"/>
    <col min="141" max="144" width="11.5703125" style="348" bestFit="1" customWidth="1"/>
    <col min="145" max="145" width="14" style="348" customWidth="1"/>
    <col min="146" max="146" width="11.5703125" style="348" bestFit="1" customWidth="1"/>
    <col min="147" max="148" width="11.42578125" style="348"/>
    <col min="149" max="149" width="17.42578125" style="348" customWidth="1"/>
    <col min="150" max="152" width="11.42578125" style="348"/>
    <col min="153" max="153" width="13.85546875" style="348" customWidth="1"/>
    <col min="154" max="154" width="11.5703125" style="348" bestFit="1" customWidth="1"/>
    <col min="155" max="155" width="12.42578125" style="348" bestFit="1" customWidth="1"/>
    <col min="156" max="157" width="12" style="348" bestFit="1" customWidth="1"/>
    <col min="158" max="158" width="16.28515625" style="348" bestFit="1" customWidth="1"/>
    <col min="159" max="159" width="12" style="348" bestFit="1" customWidth="1"/>
    <col min="160" max="160" width="14.140625" style="348" customWidth="1"/>
    <col min="161" max="161" width="24.42578125" style="348" customWidth="1"/>
    <col min="162" max="162" width="19.5703125" style="348" customWidth="1"/>
    <col min="163" max="163" width="13.140625" style="348" customWidth="1"/>
    <col min="164" max="167" width="11.5703125" style="348" bestFit="1" customWidth="1"/>
    <col min="168" max="168" width="14.7109375" style="348" customWidth="1"/>
    <col min="169" max="169" width="11.5703125" style="348" bestFit="1" customWidth="1"/>
    <col min="170" max="170" width="16.7109375" style="348" customWidth="1"/>
    <col min="171" max="171" width="15.5703125" style="348" customWidth="1"/>
    <col min="172" max="172" width="17.5703125" style="348" customWidth="1"/>
    <col min="173" max="174" width="11.42578125" style="348"/>
    <col min="175" max="178" width="11.5703125" style="348" bestFit="1" customWidth="1"/>
    <col min="179" max="179" width="15.140625" style="348" customWidth="1"/>
    <col min="180" max="180" width="11.5703125" style="348" bestFit="1" customWidth="1"/>
    <col min="181" max="181" width="23.140625" style="348" bestFit="1" customWidth="1"/>
    <col min="182" max="182" width="12.42578125" style="348" bestFit="1" customWidth="1"/>
    <col min="183" max="183" width="19.28515625" style="348" customWidth="1"/>
    <col min="184" max="184" width="22.85546875" style="348" customWidth="1"/>
    <col min="185" max="188" width="11.5703125" style="348" bestFit="1" customWidth="1"/>
    <col min="189" max="189" width="16.7109375" style="348" customWidth="1"/>
    <col min="190" max="190" width="11.5703125" style="348" bestFit="1" customWidth="1"/>
    <col min="191" max="191" width="11.42578125" style="348"/>
    <col min="192" max="192" width="21.42578125" style="348" customWidth="1"/>
    <col min="193" max="193" width="19.140625" style="348" customWidth="1"/>
    <col min="194" max="194" width="11.42578125" style="348"/>
    <col min="195" max="195" width="23.28515625" style="348" bestFit="1" customWidth="1"/>
    <col min="196" max="196" width="13" style="348" bestFit="1" customWidth="1"/>
    <col min="197" max="197" width="11.140625" style="348" customWidth="1"/>
    <col min="198" max="198" width="11.5703125" style="348" bestFit="1" customWidth="1"/>
    <col min="199" max="199" width="12.85546875" style="348" customWidth="1"/>
    <col min="200" max="200" width="16.7109375" style="348" customWidth="1"/>
    <col min="201" max="202" width="12.85546875" style="348" customWidth="1"/>
    <col min="203" max="203" width="19.85546875" style="348" bestFit="1" customWidth="1"/>
    <col min="204" max="204" width="17.140625" style="348" customWidth="1"/>
    <col min="205" max="205" width="11.42578125" style="348"/>
    <col min="206" max="206" width="21.5703125" style="348" customWidth="1"/>
    <col min="207" max="207" width="11.5703125" style="348" bestFit="1" customWidth="1"/>
    <col min="208" max="208" width="15.140625" style="348" customWidth="1"/>
    <col min="209" max="210" width="11.5703125" style="348" bestFit="1" customWidth="1"/>
    <col min="211" max="211" width="16.85546875" style="348" customWidth="1"/>
    <col min="212" max="212" width="14.7109375" style="348" bestFit="1" customWidth="1"/>
    <col min="213" max="213" width="11.5703125" style="348" bestFit="1" customWidth="1"/>
    <col min="214" max="214" width="20.140625" style="348" customWidth="1"/>
    <col min="215" max="215" width="16.85546875" style="348" customWidth="1"/>
    <col min="216" max="216" width="15.85546875" style="348" customWidth="1"/>
    <col min="217" max="218" width="11.42578125" style="348"/>
    <col min="219" max="219" width="11.5703125" style="348" bestFit="1" customWidth="1"/>
    <col min="220" max="220" width="12.42578125" style="348" bestFit="1" customWidth="1"/>
    <col min="221" max="222" width="12" style="348" bestFit="1" customWidth="1"/>
    <col min="223" max="223" width="19.5703125" style="348" customWidth="1"/>
    <col min="224" max="224" width="15.5703125" style="348" customWidth="1"/>
    <col min="225" max="225" width="19.5703125" style="348" customWidth="1"/>
    <col min="226" max="226" width="23" style="348" customWidth="1"/>
    <col min="227" max="235" width="16.140625" style="348" customWidth="1"/>
    <col min="236" max="236" width="21.28515625" style="348" bestFit="1" customWidth="1"/>
    <col min="237" max="237" width="16.140625" style="354" customWidth="1"/>
    <col min="238" max="238" width="19.42578125" style="348" bestFit="1" customWidth="1"/>
    <col min="239" max="245" width="16.140625" style="348" customWidth="1"/>
    <col min="246" max="246" width="19.42578125" style="348" customWidth="1"/>
    <col min="247" max="247" width="19" style="348" customWidth="1"/>
    <col min="248" max="248" width="16.140625" style="348" customWidth="1"/>
    <col min="249" max="249" width="17.42578125" style="348" customWidth="1"/>
    <col min="250" max="250" width="11.5703125" style="348" bestFit="1" customWidth="1"/>
    <col min="251" max="251" width="12.42578125" style="348" bestFit="1" customWidth="1"/>
    <col min="252" max="253" width="12" style="348" bestFit="1" customWidth="1"/>
    <col min="254" max="254" width="13.7109375" style="348" bestFit="1" customWidth="1"/>
    <col min="255" max="255" width="14.7109375" style="348" bestFit="1" customWidth="1"/>
    <col min="256" max="256" width="14.5703125" style="348" customWidth="1"/>
    <col min="257" max="257" width="11.42578125" style="348"/>
    <col min="258" max="258" width="16.85546875" style="348" customWidth="1"/>
    <col min="259" max="259" width="11.5703125" style="348" bestFit="1" customWidth="1"/>
    <col min="260" max="260" width="12.42578125" style="348" bestFit="1" customWidth="1"/>
    <col min="261" max="262" width="12" style="348" bestFit="1" customWidth="1"/>
    <col min="263" max="263" width="12" style="348" customWidth="1"/>
    <col min="264" max="265" width="15.5703125" style="348" customWidth="1"/>
    <col min="266" max="269" width="14.140625" style="348" customWidth="1"/>
    <col min="270" max="270" width="11.42578125" style="348"/>
    <col min="271" max="271" width="15.85546875" style="348" customWidth="1"/>
    <col min="272" max="272" width="11.5703125" style="348" bestFit="1" customWidth="1"/>
    <col min="273" max="273" width="14" style="348" customWidth="1"/>
    <col min="274" max="274" width="12.42578125" style="348" bestFit="1" customWidth="1"/>
    <col min="275" max="275" width="11.85546875" style="348" customWidth="1"/>
    <col min="276" max="276" width="14.140625" style="348" customWidth="1"/>
    <col min="277" max="277" width="11.5703125" style="348" bestFit="1" customWidth="1"/>
    <col min="278" max="278" width="14.42578125" style="348" customWidth="1"/>
    <col min="279" max="279" width="15.42578125" style="348" customWidth="1"/>
    <col min="280" max="280" width="22.5703125" style="348" customWidth="1"/>
    <col min="281" max="281" width="11.5703125" style="348" bestFit="1" customWidth="1"/>
    <col min="282" max="282" width="11.42578125" style="348" customWidth="1"/>
    <col min="283" max="283" width="13" style="348" customWidth="1"/>
    <col min="284" max="284" width="11.7109375" style="348" bestFit="1" customWidth="1"/>
    <col min="285" max="285" width="12.42578125" style="348" bestFit="1" customWidth="1"/>
    <col min="286" max="286" width="13.28515625" style="348" customWidth="1"/>
    <col min="287" max="287" width="17.5703125" style="348" bestFit="1" customWidth="1"/>
    <col min="288" max="288" width="19.28515625" style="348" bestFit="1" customWidth="1"/>
    <col min="289" max="289" width="11.5703125" style="348" bestFit="1" customWidth="1"/>
    <col min="290" max="290" width="18.42578125" style="348" customWidth="1"/>
    <col min="291" max="291" width="19.28515625" style="348" customWidth="1"/>
    <col min="292" max="292" width="21.85546875" style="348" customWidth="1"/>
    <col min="293" max="294" width="11.42578125" style="348"/>
    <col min="295" max="295" width="16.28515625" style="348" customWidth="1"/>
    <col min="296" max="297" width="11.42578125" style="348"/>
    <col min="298" max="298" width="17" style="348" customWidth="1"/>
    <col min="299" max="300" width="11.42578125" style="348"/>
    <col min="301" max="301" width="15.140625" style="348" customWidth="1"/>
    <col min="302" max="302" width="11.5703125" style="348" bestFit="1" customWidth="1"/>
    <col min="303" max="303" width="12.42578125" style="348" bestFit="1" customWidth="1"/>
    <col min="304" max="305" width="12" style="348" bestFit="1" customWidth="1"/>
    <col min="306" max="306" width="14" style="348" customWidth="1"/>
    <col min="307" max="307" width="11.7109375" style="348" bestFit="1" customWidth="1"/>
    <col min="308" max="309" width="11.42578125" style="348"/>
    <col min="310" max="310" width="12.42578125" style="348" bestFit="1" customWidth="1"/>
    <col min="311" max="312" width="11.5703125" style="348" bestFit="1" customWidth="1"/>
    <col min="313" max="313" width="12.7109375" style="348" customWidth="1"/>
    <col min="314" max="314" width="11.5703125" style="348" bestFit="1" customWidth="1"/>
    <col min="315" max="316" width="11.42578125" style="348"/>
    <col min="317" max="317" width="12.42578125" style="348" bestFit="1" customWidth="1"/>
    <col min="318" max="319" width="11.5703125" style="348" bestFit="1" customWidth="1"/>
    <col min="320" max="320" width="14.7109375" style="348" customWidth="1"/>
    <col min="321" max="321" width="11.5703125" style="348" bestFit="1" customWidth="1"/>
    <col min="322" max="322" width="11.42578125" style="348"/>
    <col min="323" max="323" width="14.7109375" style="348" customWidth="1"/>
    <col min="324" max="324" width="11.42578125" style="348"/>
    <col min="325" max="325" width="12.140625" style="348" bestFit="1" customWidth="1"/>
    <col min="326" max="327" width="11.5703125" style="348" bestFit="1" customWidth="1"/>
    <col min="328" max="330" width="11.42578125" style="348"/>
    <col min="331" max="331" width="21.85546875" style="348" customWidth="1"/>
    <col min="332" max="332" width="11.42578125" style="348"/>
    <col min="333" max="333" width="20" style="348" customWidth="1"/>
    <col min="334" max="335" width="18.7109375" style="348" customWidth="1"/>
    <col min="336" max="336" width="16.85546875" style="348" customWidth="1"/>
    <col min="337" max="337" width="11.5703125" style="348" bestFit="1" customWidth="1"/>
    <col min="338" max="16384" width="11.42578125" style="348"/>
  </cols>
  <sheetData>
    <row r="1" spans="2:337" x14ac:dyDescent="0.25">
      <c r="M1" s="348" t="s">
        <v>217</v>
      </c>
      <c r="HC1" s="348" t="s">
        <v>294</v>
      </c>
      <c r="HJ1" s="354"/>
      <c r="HK1" s="354"/>
      <c r="HL1" s="354"/>
      <c r="HM1" s="354"/>
      <c r="HN1" s="354"/>
      <c r="HO1" s="354"/>
      <c r="HP1" s="354"/>
      <c r="HQ1" s="354"/>
      <c r="HR1" s="354"/>
      <c r="HS1" s="354"/>
      <c r="HT1" s="354"/>
      <c r="HU1" s="354"/>
      <c r="HV1" s="354"/>
      <c r="HW1" s="354"/>
      <c r="HX1" s="354"/>
      <c r="HY1" s="354"/>
      <c r="HZ1" s="354"/>
      <c r="IA1" s="354"/>
      <c r="IB1" s="354"/>
      <c r="IX1" s="354"/>
      <c r="IY1" s="354"/>
      <c r="IZ1" s="354"/>
      <c r="JA1" s="354"/>
      <c r="JB1" s="354"/>
      <c r="JC1" s="354"/>
      <c r="JD1" s="354"/>
      <c r="JE1" s="354"/>
      <c r="JF1" s="354"/>
      <c r="JG1" s="354"/>
      <c r="JH1" s="354"/>
      <c r="JI1" s="354"/>
      <c r="JV1" s="355"/>
      <c r="JW1" s="355"/>
      <c r="JX1" s="355"/>
      <c r="JY1" s="355"/>
      <c r="JZ1" s="355"/>
      <c r="KA1" s="355"/>
      <c r="KB1" s="355"/>
      <c r="KJ1" s="348" t="s">
        <v>294</v>
      </c>
      <c r="KW1" s="348" t="s">
        <v>294</v>
      </c>
      <c r="LE1" s="348" t="s">
        <v>294</v>
      </c>
    </row>
    <row r="2" spans="2:337" ht="16.5" thickBot="1" x14ac:dyDescent="0.3"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X2" s="355"/>
      <c r="AY2" s="355"/>
      <c r="AZ2" s="355"/>
      <c r="BA2" s="356"/>
      <c r="BB2" s="357"/>
      <c r="BC2" s="357"/>
      <c r="BD2" s="355"/>
      <c r="BE2" s="355"/>
      <c r="BF2" s="355"/>
      <c r="BG2" s="355"/>
      <c r="BH2" s="355"/>
      <c r="BI2" s="355"/>
      <c r="FR2" s="358" t="s">
        <v>295</v>
      </c>
      <c r="JV2" s="355"/>
      <c r="JW2" s="355"/>
      <c r="JX2" s="355"/>
      <c r="JY2" s="355"/>
      <c r="JZ2" s="355"/>
      <c r="KA2" s="355"/>
      <c r="KB2" s="355"/>
      <c r="KE2" s="359"/>
    </row>
    <row r="3" spans="2:337" ht="16.5" thickBot="1" x14ac:dyDescent="0.3"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X3" s="355"/>
      <c r="AY3" s="355"/>
      <c r="AZ3" s="355"/>
      <c r="BA3" s="356"/>
      <c r="BB3" s="357"/>
      <c r="BC3" s="357"/>
      <c r="BD3" s="355"/>
      <c r="BE3" s="355"/>
      <c r="BF3" s="355"/>
      <c r="BG3" s="355"/>
      <c r="BH3" s="355"/>
      <c r="BI3" s="355"/>
      <c r="BK3" s="360" t="s">
        <v>296</v>
      </c>
      <c r="BL3" s="360" t="s">
        <v>28</v>
      </c>
      <c r="BM3" s="360" t="s">
        <v>207</v>
      </c>
      <c r="BN3" s="360" t="s">
        <v>208</v>
      </c>
      <c r="BO3" s="360" t="s">
        <v>209</v>
      </c>
      <c r="BP3" s="360" t="s">
        <v>297</v>
      </c>
      <c r="BQ3" s="360" t="s">
        <v>211</v>
      </c>
      <c r="BR3" s="360" t="s">
        <v>27</v>
      </c>
      <c r="BS3" s="360" t="s">
        <v>28</v>
      </c>
      <c r="BT3" s="360" t="s">
        <v>246</v>
      </c>
      <c r="BU3" s="355"/>
      <c r="BV3" s="361" t="s">
        <v>296</v>
      </c>
      <c r="BW3" s="361" t="s">
        <v>28</v>
      </c>
      <c r="BX3" s="361" t="s">
        <v>207</v>
      </c>
      <c r="BY3" s="361" t="s">
        <v>208</v>
      </c>
      <c r="BZ3" s="361" t="s">
        <v>209</v>
      </c>
      <c r="CA3" s="361" t="s">
        <v>210</v>
      </c>
      <c r="CB3" s="362" t="s">
        <v>211</v>
      </c>
      <c r="CC3" s="362" t="s">
        <v>28</v>
      </c>
      <c r="CD3" s="362" t="s">
        <v>27</v>
      </c>
      <c r="CG3" s="362" t="s">
        <v>296</v>
      </c>
      <c r="CH3" s="362" t="s">
        <v>28</v>
      </c>
      <c r="CI3" s="362" t="s">
        <v>207</v>
      </c>
      <c r="CJ3" s="362" t="s">
        <v>208</v>
      </c>
      <c r="CK3" s="362" t="s">
        <v>209</v>
      </c>
      <c r="CL3" s="363" t="s">
        <v>210</v>
      </c>
      <c r="CM3" s="362" t="s">
        <v>210</v>
      </c>
      <c r="CN3" s="362" t="s">
        <v>28</v>
      </c>
      <c r="CO3" s="362" t="s">
        <v>27</v>
      </c>
      <c r="CR3" s="362" t="s">
        <v>296</v>
      </c>
      <c r="CS3" s="362" t="s">
        <v>28</v>
      </c>
      <c r="CT3" s="362" t="s">
        <v>207</v>
      </c>
      <c r="CU3" s="362" t="s">
        <v>208</v>
      </c>
      <c r="CV3" s="362" t="s">
        <v>209</v>
      </c>
      <c r="CW3" s="364" t="s">
        <v>210</v>
      </c>
      <c r="CX3" s="365" t="s">
        <v>211</v>
      </c>
      <c r="CY3" s="365" t="s">
        <v>28</v>
      </c>
      <c r="CZ3" s="365" t="s">
        <v>27</v>
      </c>
      <c r="DC3" s="362" t="s">
        <v>296</v>
      </c>
      <c r="DD3" s="362" t="s">
        <v>23</v>
      </c>
      <c r="DE3" s="362" t="s">
        <v>207</v>
      </c>
      <c r="DF3" s="362" t="s">
        <v>208</v>
      </c>
      <c r="DG3" s="362" t="s">
        <v>209</v>
      </c>
      <c r="DH3" s="366" t="s">
        <v>210</v>
      </c>
      <c r="DI3" s="362" t="s">
        <v>211</v>
      </c>
      <c r="DJ3" s="362" t="s">
        <v>28</v>
      </c>
      <c r="DK3" s="362" t="s">
        <v>27</v>
      </c>
      <c r="DL3" s="367" t="s">
        <v>298</v>
      </c>
      <c r="DM3" s="355"/>
      <c r="DN3" s="362" t="s">
        <v>296</v>
      </c>
      <c r="DO3" s="362" t="s">
        <v>23</v>
      </c>
      <c r="DP3" s="362" t="s">
        <v>207</v>
      </c>
      <c r="DQ3" s="362" t="s">
        <v>208</v>
      </c>
      <c r="DR3" s="362" t="s">
        <v>209</v>
      </c>
      <c r="DS3" s="362" t="s">
        <v>210</v>
      </c>
      <c r="DT3" s="362" t="s">
        <v>211</v>
      </c>
      <c r="DU3" s="362" t="s">
        <v>27</v>
      </c>
      <c r="DV3" s="362" t="s">
        <v>27</v>
      </c>
      <c r="DW3" s="368"/>
      <c r="DX3" s="362" t="s">
        <v>296</v>
      </c>
      <c r="DY3" s="362" t="s">
        <v>23</v>
      </c>
      <c r="DZ3" s="362" t="s">
        <v>207</v>
      </c>
      <c r="EA3" s="362" t="s">
        <v>208</v>
      </c>
      <c r="EB3" s="362" t="s">
        <v>209</v>
      </c>
      <c r="EC3" s="362" t="s">
        <v>210</v>
      </c>
      <c r="ED3" s="362" t="s">
        <v>211</v>
      </c>
      <c r="EE3" s="362" t="s">
        <v>28</v>
      </c>
      <c r="EF3" s="362" t="s">
        <v>27</v>
      </c>
      <c r="EG3" s="362" t="s">
        <v>246</v>
      </c>
      <c r="EH3" s="355"/>
      <c r="EI3" s="355"/>
      <c r="EJ3" s="362" t="s">
        <v>296</v>
      </c>
      <c r="EK3" s="362" t="s">
        <v>23</v>
      </c>
      <c r="EL3" s="362" t="s">
        <v>207</v>
      </c>
      <c r="EM3" s="362" t="s">
        <v>208</v>
      </c>
      <c r="EN3" s="362" t="s">
        <v>209</v>
      </c>
      <c r="EO3" s="362" t="s">
        <v>210</v>
      </c>
      <c r="EP3" s="362" t="s">
        <v>211</v>
      </c>
      <c r="EQ3" s="362" t="s">
        <v>28</v>
      </c>
      <c r="ER3" s="362" t="s">
        <v>27</v>
      </c>
      <c r="ES3" s="362" t="s">
        <v>246</v>
      </c>
      <c r="ET3" s="355"/>
      <c r="EW3" s="362" t="s">
        <v>296</v>
      </c>
      <c r="EX3" s="362" t="s">
        <v>28</v>
      </c>
      <c r="EY3" s="362" t="s">
        <v>207</v>
      </c>
      <c r="EZ3" s="362" t="s">
        <v>208</v>
      </c>
      <c r="FA3" s="362" t="s">
        <v>209</v>
      </c>
      <c r="FB3" s="362" t="s">
        <v>210</v>
      </c>
      <c r="FC3" s="362" t="s">
        <v>211</v>
      </c>
      <c r="FD3" s="362"/>
      <c r="FE3" s="362" t="s">
        <v>27</v>
      </c>
      <c r="FG3" s="362" t="s">
        <v>296</v>
      </c>
      <c r="FH3" s="362" t="s">
        <v>23</v>
      </c>
      <c r="FI3" s="362" t="s">
        <v>207</v>
      </c>
      <c r="FJ3" s="362" t="s">
        <v>208</v>
      </c>
      <c r="FK3" s="362" t="s">
        <v>209</v>
      </c>
      <c r="FL3" s="362" t="s">
        <v>210</v>
      </c>
      <c r="FM3" s="362" t="s">
        <v>211</v>
      </c>
      <c r="FN3" s="362" t="s">
        <v>28</v>
      </c>
      <c r="FO3" s="362" t="s">
        <v>27</v>
      </c>
      <c r="FP3" s="362" t="s">
        <v>246</v>
      </c>
      <c r="FR3" s="362" t="s">
        <v>296</v>
      </c>
      <c r="FS3" s="362" t="s">
        <v>23</v>
      </c>
      <c r="FT3" s="362" t="s">
        <v>207</v>
      </c>
      <c r="FU3" s="362" t="s">
        <v>208</v>
      </c>
      <c r="FV3" s="362" t="s">
        <v>209</v>
      </c>
      <c r="FW3" s="362" t="s">
        <v>210</v>
      </c>
      <c r="FX3" s="362" t="s">
        <v>211</v>
      </c>
      <c r="FY3" s="367" t="s">
        <v>27</v>
      </c>
      <c r="FZ3" s="367" t="s">
        <v>28</v>
      </c>
      <c r="GB3" s="362" t="s">
        <v>296</v>
      </c>
      <c r="GC3" s="362" t="s">
        <v>23</v>
      </c>
      <c r="GD3" s="362" t="s">
        <v>207</v>
      </c>
      <c r="GE3" s="362" t="s">
        <v>208</v>
      </c>
      <c r="GF3" s="362" t="s">
        <v>209</v>
      </c>
      <c r="GG3" s="362" t="s">
        <v>210</v>
      </c>
      <c r="GH3" s="362" t="s">
        <v>211</v>
      </c>
      <c r="GI3" s="362" t="s">
        <v>28</v>
      </c>
      <c r="GJ3" s="362" t="s">
        <v>27</v>
      </c>
      <c r="GK3" s="362" t="s">
        <v>246</v>
      </c>
      <c r="GM3" s="362" t="s">
        <v>296</v>
      </c>
      <c r="GN3" s="362" t="s">
        <v>23</v>
      </c>
      <c r="GO3" s="362" t="s">
        <v>207</v>
      </c>
      <c r="GP3" s="362" t="s">
        <v>208</v>
      </c>
      <c r="GQ3" s="362" t="s">
        <v>209</v>
      </c>
      <c r="GR3" s="362" t="s">
        <v>210</v>
      </c>
      <c r="GS3" s="362" t="s">
        <v>211</v>
      </c>
      <c r="GT3" s="362" t="s">
        <v>28</v>
      </c>
      <c r="GU3" s="362" t="s">
        <v>27</v>
      </c>
      <c r="GX3" s="362" t="s">
        <v>296</v>
      </c>
      <c r="GY3" s="362" t="s">
        <v>23</v>
      </c>
      <c r="GZ3" s="362" t="s">
        <v>207</v>
      </c>
      <c r="HA3" s="362" t="s">
        <v>208</v>
      </c>
      <c r="HB3" s="362" t="s">
        <v>209</v>
      </c>
      <c r="HC3" s="362" t="s">
        <v>210</v>
      </c>
      <c r="HD3" s="362" t="s">
        <v>211</v>
      </c>
      <c r="HE3" s="362" t="s">
        <v>28</v>
      </c>
      <c r="HF3" s="362" t="s">
        <v>27</v>
      </c>
      <c r="HH3" s="362" t="s">
        <v>296</v>
      </c>
      <c r="HI3" s="362" t="s">
        <v>23</v>
      </c>
      <c r="HJ3" s="362" t="s">
        <v>207</v>
      </c>
      <c r="HK3" s="362" t="s">
        <v>208</v>
      </c>
      <c r="HL3" s="362" t="s">
        <v>209</v>
      </c>
      <c r="HM3" s="362" t="s">
        <v>210</v>
      </c>
      <c r="HN3" s="362" t="s">
        <v>211</v>
      </c>
      <c r="HO3" s="362" t="s">
        <v>28</v>
      </c>
      <c r="HP3" s="362" t="s">
        <v>27</v>
      </c>
      <c r="HT3" s="362" t="s">
        <v>296</v>
      </c>
      <c r="HU3" s="362" t="s">
        <v>28</v>
      </c>
      <c r="HV3" s="362" t="s">
        <v>207</v>
      </c>
      <c r="HW3" s="362" t="s">
        <v>208</v>
      </c>
      <c r="HX3" s="362" t="s">
        <v>209</v>
      </c>
      <c r="HY3" s="362"/>
      <c r="HZ3" s="362" t="s">
        <v>299</v>
      </c>
      <c r="IA3" s="367" t="s">
        <v>28</v>
      </c>
      <c r="IB3" s="367" t="s">
        <v>27</v>
      </c>
      <c r="ID3" s="369" t="s">
        <v>300</v>
      </c>
      <c r="IE3" s="362" t="s">
        <v>23</v>
      </c>
      <c r="IF3" s="362" t="s">
        <v>207</v>
      </c>
      <c r="IG3" s="362" t="s">
        <v>208</v>
      </c>
      <c r="IH3" s="362" t="s">
        <v>209</v>
      </c>
      <c r="II3" s="362" t="s">
        <v>210</v>
      </c>
      <c r="IJ3" s="362" t="s">
        <v>211</v>
      </c>
      <c r="IK3" s="362" t="s">
        <v>28</v>
      </c>
      <c r="IL3" s="362" t="s">
        <v>27</v>
      </c>
      <c r="IM3" s="362" t="s">
        <v>246</v>
      </c>
      <c r="IO3" s="362" t="s">
        <v>296</v>
      </c>
      <c r="IP3" s="362" t="s">
        <v>28</v>
      </c>
      <c r="IQ3" s="362" t="s">
        <v>207</v>
      </c>
      <c r="IR3" s="362" t="s">
        <v>208</v>
      </c>
      <c r="IS3" s="362" t="s">
        <v>209</v>
      </c>
      <c r="IT3" s="362" t="s">
        <v>210</v>
      </c>
      <c r="IU3" s="362" t="s">
        <v>211</v>
      </c>
      <c r="IV3" s="367" t="s">
        <v>27</v>
      </c>
      <c r="IX3" s="362" t="s">
        <v>296</v>
      </c>
      <c r="IY3" s="362" t="s">
        <v>28</v>
      </c>
      <c r="IZ3" s="362" t="s">
        <v>207</v>
      </c>
      <c r="JA3" s="362" t="s">
        <v>208</v>
      </c>
      <c r="JB3" s="362" t="s">
        <v>209</v>
      </c>
      <c r="JC3" s="362" t="s">
        <v>301</v>
      </c>
      <c r="JD3" s="362" t="s">
        <v>211</v>
      </c>
      <c r="JE3" s="362" t="s">
        <v>28</v>
      </c>
      <c r="JF3" s="362" t="s">
        <v>27</v>
      </c>
      <c r="JG3" s="362" t="s">
        <v>28</v>
      </c>
      <c r="JH3" s="362" t="s">
        <v>27</v>
      </c>
      <c r="JI3" s="362" t="s">
        <v>246</v>
      </c>
      <c r="JJ3" s="368"/>
      <c r="JK3" s="362" t="s">
        <v>296</v>
      </c>
      <c r="JL3" s="362" t="s">
        <v>23</v>
      </c>
      <c r="JM3" s="362" t="s">
        <v>207</v>
      </c>
      <c r="JN3" s="362" t="s">
        <v>208</v>
      </c>
      <c r="JO3" s="362" t="s">
        <v>209</v>
      </c>
      <c r="JP3" s="362" t="s">
        <v>210</v>
      </c>
      <c r="JQ3" s="362" t="s">
        <v>211</v>
      </c>
      <c r="JR3" s="361" t="s">
        <v>28</v>
      </c>
      <c r="JS3" s="361" t="s">
        <v>27</v>
      </c>
      <c r="JT3" s="361" t="s">
        <v>302</v>
      </c>
      <c r="JX3" s="361" t="s">
        <v>296</v>
      </c>
      <c r="JY3" s="361" t="s">
        <v>207</v>
      </c>
      <c r="JZ3" s="361" t="s">
        <v>26</v>
      </c>
      <c r="KA3" s="361" t="s">
        <v>303</v>
      </c>
      <c r="KB3" s="361" t="s">
        <v>210</v>
      </c>
      <c r="KC3" s="361" t="s">
        <v>24</v>
      </c>
      <c r="KD3" s="367"/>
      <c r="KE3" s="367" t="s">
        <v>27</v>
      </c>
      <c r="KP3" s="361" t="s">
        <v>296</v>
      </c>
      <c r="KQ3" s="361" t="s">
        <v>28</v>
      </c>
      <c r="KR3" s="361" t="s">
        <v>207</v>
      </c>
      <c r="KS3" s="361" t="s">
        <v>208</v>
      </c>
      <c r="KT3" s="361" t="s">
        <v>209</v>
      </c>
      <c r="KU3" s="361" t="s">
        <v>210</v>
      </c>
      <c r="KV3" s="361" t="s">
        <v>211</v>
      </c>
      <c r="KX3" s="362" t="s">
        <v>296</v>
      </c>
      <c r="KY3" s="362" t="s">
        <v>207</v>
      </c>
      <c r="KZ3" s="362" t="s">
        <v>208</v>
      </c>
      <c r="LA3" s="362" t="s">
        <v>209</v>
      </c>
      <c r="LB3" s="362" t="s">
        <v>210</v>
      </c>
      <c r="LE3" s="362" t="s">
        <v>296</v>
      </c>
      <c r="LF3" s="362" t="s">
        <v>207</v>
      </c>
      <c r="LG3" s="362" t="s">
        <v>208</v>
      </c>
      <c r="LH3" s="362" t="s">
        <v>209</v>
      </c>
      <c r="LI3" s="362" t="s">
        <v>210</v>
      </c>
      <c r="LM3" s="362" t="s">
        <v>296</v>
      </c>
      <c r="LN3" s="362" t="s">
        <v>207</v>
      </c>
      <c r="LO3" s="362" t="s">
        <v>208</v>
      </c>
      <c r="LS3" s="361" t="s">
        <v>296</v>
      </c>
      <c r="LT3" s="361" t="s">
        <v>28</v>
      </c>
      <c r="LU3" s="361" t="s">
        <v>207</v>
      </c>
      <c r="LV3" s="361" t="s">
        <v>208</v>
      </c>
      <c r="LW3" s="361" t="s">
        <v>209</v>
      </c>
      <c r="LX3" s="361" t="s">
        <v>210</v>
      </c>
      <c r="LY3" s="370" t="s">
        <v>24</v>
      </c>
    </row>
    <row r="4" spans="2:337" ht="15.75" customHeight="1" thickBot="1" x14ac:dyDescent="0.3">
      <c r="B4" s="358" t="s">
        <v>304</v>
      </c>
      <c r="C4" s="358"/>
      <c r="K4" s="354"/>
      <c r="L4" s="354"/>
      <c r="M4" s="354"/>
      <c r="N4" s="354"/>
      <c r="O4" s="354"/>
      <c r="Q4" s="362" t="s">
        <v>296</v>
      </c>
      <c r="R4" s="362" t="s">
        <v>23</v>
      </c>
      <c r="S4" s="362" t="s">
        <v>207</v>
      </c>
      <c r="T4" s="362" t="s">
        <v>208</v>
      </c>
      <c r="U4" s="362" t="s">
        <v>209</v>
      </c>
      <c r="V4" s="362" t="s">
        <v>210</v>
      </c>
      <c r="W4" s="371" t="s">
        <v>211</v>
      </c>
      <c r="X4" s="367" t="s">
        <v>28</v>
      </c>
      <c r="Y4" s="367" t="s">
        <v>27</v>
      </c>
      <c r="Z4" s="365" t="s">
        <v>246</v>
      </c>
      <c r="AB4" s="360" t="s">
        <v>296</v>
      </c>
      <c r="AC4" s="360" t="s">
        <v>23</v>
      </c>
      <c r="AD4" s="360" t="s">
        <v>207</v>
      </c>
      <c r="AE4" s="360" t="s">
        <v>208</v>
      </c>
      <c r="AF4" s="360" t="s">
        <v>209</v>
      </c>
      <c r="AG4" s="360" t="s">
        <v>297</v>
      </c>
      <c r="AH4" s="360" t="s">
        <v>211</v>
      </c>
      <c r="AI4" s="360" t="s">
        <v>27</v>
      </c>
      <c r="AJ4" s="360" t="s">
        <v>28</v>
      </c>
      <c r="AK4" s="360" t="s">
        <v>246</v>
      </c>
      <c r="AM4" s="360" t="s">
        <v>296</v>
      </c>
      <c r="AN4" s="360" t="s">
        <v>23</v>
      </c>
      <c r="AO4" s="360" t="s">
        <v>207</v>
      </c>
      <c r="AP4" s="360" t="s">
        <v>208</v>
      </c>
      <c r="AQ4" s="360" t="s">
        <v>209</v>
      </c>
      <c r="AR4" s="360" t="s">
        <v>297</v>
      </c>
      <c r="AS4" s="360" t="s">
        <v>211</v>
      </c>
      <c r="AT4" s="360" t="s">
        <v>28</v>
      </c>
      <c r="AU4" s="360" t="s">
        <v>27</v>
      </c>
      <c r="AV4" s="360" t="s">
        <v>246</v>
      </c>
      <c r="AX4" s="360" t="s">
        <v>296</v>
      </c>
      <c r="AY4" s="360" t="s">
        <v>23</v>
      </c>
      <c r="AZ4" s="360" t="s">
        <v>207</v>
      </c>
      <c r="BA4" s="372" t="s">
        <v>208</v>
      </c>
      <c r="BB4" s="373" t="s">
        <v>209</v>
      </c>
      <c r="BC4" s="373" t="s">
        <v>297</v>
      </c>
      <c r="BD4" s="360" t="s">
        <v>211</v>
      </c>
      <c r="BE4" s="360" t="s">
        <v>28</v>
      </c>
      <c r="BF4" s="360" t="s">
        <v>27</v>
      </c>
      <c r="BG4" s="360" t="s">
        <v>246</v>
      </c>
      <c r="BH4" s="355"/>
      <c r="BI4" s="355"/>
      <c r="BK4" s="374" t="s">
        <v>305</v>
      </c>
      <c r="BL4" s="374"/>
      <c r="BM4" s="375">
        <v>45015</v>
      </c>
      <c r="BN4" s="376">
        <v>93</v>
      </c>
      <c r="BO4" s="377">
        <v>7776.3</v>
      </c>
      <c r="BP4" s="377"/>
      <c r="BQ4" s="378"/>
      <c r="BR4" s="377"/>
      <c r="BS4" s="377"/>
      <c r="BT4" s="377"/>
      <c r="BU4" s="355"/>
      <c r="BV4" s="379" t="s">
        <v>306</v>
      </c>
      <c r="BW4" s="380"/>
      <c r="BX4" s="381">
        <v>44991</v>
      </c>
      <c r="BY4" s="382">
        <v>40</v>
      </c>
      <c r="BZ4" s="383">
        <v>0</v>
      </c>
      <c r="CA4" s="384"/>
      <c r="CB4" s="385"/>
      <c r="CC4" s="385"/>
      <c r="CD4" s="385"/>
      <c r="CG4" s="386" t="s">
        <v>307</v>
      </c>
      <c r="CH4" s="385" t="s">
        <v>308</v>
      </c>
      <c r="CI4" s="387">
        <v>45107</v>
      </c>
      <c r="CJ4" s="388">
        <v>102</v>
      </c>
      <c r="CK4" s="385">
        <v>8</v>
      </c>
      <c r="CL4" s="389"/>
      <c r="CM4" s="390" t="s">
        <v>309</v>
      </c>
      <c r="CN4" s="385"/>
      <c r="CO4" s="385"/>
      <c r="CR4" s="386" t="s">
        <v>310</v>
      </c>
      <c r="CS4" s="385"/>
      <c r="CT4" s="387"/>
      <c r="CU4" s="388"/>
      <c r="CV4" s="385"/>
      <c r="CW4" s="391"/>
      <c r="CX4" s="385"/>
      <c r="CY4" s="385"/>
      <c r="CZ4" s="385"/>
      <c r="DC4" s="392" t="s">
        <v>311</v>
      </c>
      <c r="DD4" s="393"/>
      <c r="DE4" s="394">
        <v>45308</v>
      </c>
      <c r="DF4" s="395">
        <v>15</v>
      </c>
      <c r="DG4" s="393">
        <v>0</v>
      </c>
      <c r="DH4" s="396"/>
      <c r="DI4" s="397">
        <v>4704</v>
      </c>
      <c r="DJ4" s="397"/>
      <c r="DK4" s="398"/>
      <c r="DL4" s="385"/>
      <c r="DM4" s="355"/>
      <c r="DN4" s="399" t="s">
        <v>60</v>
      </c>
      <c r="DO4" s="400"/>
      <c r="DP4" s="401">
        <v>45407</v>
      </c>
      <c r="DQ4" s="400">
        <v>320</v>
      </c>
      <c r="DR4" s="400">
        <v>17.100000000000001</v>
      </c>
      <c r="DS4" s="402"/>
      <c r="DT4" s="400">
        <v>5512</v>
      </c>
      <c r="DU4" s="403"/>
      <c r="DV4" s="400"/>
      <c r="DW4" s="400"/>
      <c r="DX4" s="399" t="s">
        <v>286</v>
      </c>
      <c r="DY4" s="404">
        <v>0.36527777777777776</v>
      </c>
      <c r="DZ4" s="405">
        <v>45507</v>
      </c>
      <c r="EA4" s="406">
        <v>355</v>
      </c>
      <c r="EB4" s="406">
        <v>12.6</v>
      </c>
      <c r="EC4" s="407"/>
      <c r="ED4" s="348">
        <v>8957</v>
      </c>
      <c r="EE4" s="406" t="s">
        <v>312</v>
      </c>
      <c r="EF4" s="406" t="s">
        <v>313</v>
      </c>
      <c r="EG4" s="385" t="s">
        <v>314</v>
      </c>
      <c r="EH4" s="355"/>
      <c r="EI4" s="355"/>
      <c r="EJ4" s="386" t="s">
        <v>315</v>
      </c>
      <c r="EK4" s="386"/>
      <c r="EL4" s="408"/>
      <c r="EM4" s="388">
        <v>1</v>
      </c>
      <c r="EN4" s="385">
        <v>1</v>
      </c>
      <c r="EO4" s="385"/>
      <c r="EP4" s="385"/>
      <c r="EQ4" s="385"/>
      <c r="ER4" s="385"/>
      <c r="ES4" s="385"/>
      <c r="ET4" s="355"/>
      <c r="EW4" s="386" t="s">
        <v>63</v>
      </c>
      <c r="EX4" s="386" t="s">
        <v>316</v>
      </c>
      <c r="EY4" s="387">
        <v>44918</v>
      </c>
      <c r="EZ4" s="388">
        <v>92</v>
      </c>
      <c r="FA4" s="385">
        <v>4806</v>
      </c>
      <c r="FB4" s="385"/>
      <c r="FC4" s="385"/>
      <c r="FD4" s="385"/>
      <c r="FE4" s="385"/>
      <c r="FG4" s="409" t="s">
        <v>289</v>
      </c>
      <c r="FH4" s="386"/>
      <c r="FI4" s="408">
        <v>45752</v>
      </c>
      <c r="FJ4" s="388">
        <v>80</v>
      </c>
      <c r="FK4" s="385">
        <v>3</v>
      </c>
      <c r="FL4" s="385"/>
      <c r="FM4" s="385">
        <v>8633</v>
      </c>
      <c r="FN4" s="385" t="s">
        <v>149</v>
      </c>
      <c r="FO4" s="385" t="s">
        <v>149</v>
      </c>
      <c r="FP4" s="410" t="s">
        <v>317</v>
      </c>
      <c r="FR4" s="411" t="s">
        <v>318</v>
      </c>
      <c r="FS4" s="385"/>
      <c r="FT4" s="408">
        <v>45223</v>
      </c>
      <c r="FU4" s="412">
        <v>35</v>
      </c>
      <c r="FV4" s="413">
        <v>0</v>
      </c>
      <c r="FW4" s="413"/>
      <c r="FX4" s="414">
        <v>4419</v>
      </c>
      <c r="FY4" s="385"/>
      <c r="GB4" s="415" t="s">
        <v>319</v>
      </c>
      <c r="GC4" s="416">
        <v>0.51249999999999996</v>
      </c>
      <c r="GD4" s="417">
        <v>45521</v>
      </c>
      <c r="GE4" s="418">
        <v>18</v>
      </c>
      <c r="GF4" s="418"/>
      <c r="GG4" s="407" t="e">
        <f t="shared" ref="GG4:GG14" si="0">(GF4-GF3)/GE3</f>
        <v>#VALUE!</v>
      </c>
      <c r="GH4" s="385">
        <v>6275</v>
      </c>
      <c r="GI4" s="418" t="s">
        <v>320</v>
      </c>
      <c r="GJ4" s="418" t="s">
        <v>320</v>
      </c>
      <c r="GK4" s="385"/>
      <c r="GM4" s="419" t="s">
        <v>321</v>
      </c>
      <c r="GN4" s="420"/>
      <c r="GO4" s="421"/>
      <c r="GP4" s="422"/>
      <c r="GQ4" s="423"/>
      <c r="GR4" s="423"/>
      <c r="GS4" s="424"/>
      <c r="GT4" s="424"/>
      <c r="GU4" s="385"/>
      <c r="GX4" s="419" t="s">
        <v>290</v>
      </c>
      <c r="GY4" s="420">
        <v>0.47708333333333336</v>
      </c>
      <c r="GZ4" s="425">
        <v>45482</v>
      </c>
      <c r="HA4" s="422">
        <v>60</v>
      </c>
      <c r="HB4" s="423"/>
      <c r="HC4" s="423"/>
      <c r="HD4" s="424"/>
      <c r="HE4" s="424" t="s">
        <v>322</v>
      </c>
      <c r="HF4" s="385" t="s">
        <v>323</v>
      </c>
      <c r="HH4" s="409" t="s">
        <v>291</v>
      </c>
      <c r="HI4" s="426"/>
      <c r="HJ4" s="408"/>
      <c r="HK4" s="388"/>
      <c r="HL4" s="385"/>
      <c r="HM4" s="427"/>
      <c r="HN4" s="385"/>
      <c r="HO4" s="385"/>
      <c r="HP4" s="385"/>
      <c r="HQ4" s="385"/>
      <c r="HT4" s="386" t="s">
        <v>324</v>
      </c>
      <c r="HU4" s="386"/>
      <c r="HV4" s="387">
        <v>44901</v>
      </c>
      <c r="HW4" s="388">
        <v>20</v>
      </c>
      <c r="HX4" s="385">
        <v>12322</v>
      </c>
      <c r="HY4" s="385"/>
      <c r="HZ4" s="385"/>
      <c r="ID4" s="409" t="s">
        <v>292</v>
      </c>
      <c r="IE4" s="386"/>
      <c r="IF4" s="408">
        <v>45950</v>
      </c>
      <c r="IG4" s="388">
        <v>12</v>
      </c>
      <c r="IH4" s="385">
        <v>993</v>
      </c>
      <c r="II4" s="385">
        <v>10837</v>
      </c>
      <c r="IJ4" s="385">
        <v>10837</v>
      </c>
      <c r="IK4" s="385">
        <v>10837</v>
      </c>
      <c r="IL4" s="385"/>
      <c r="IM4" s="428" t="s">
        <v>325</v>
      </c>
      <c r="IO4" s="386" t="s">
        <v>326</v>
      </c>
      <c r="IP4" s="386"/>
      <c r="IQ4" s="387">
        <v>45020</v>
      </c>
      <c r="IR4" s="388">
        <v>43</v>
      </c>
      <c r="IS4" s="385">
        <v>0</v>
      </c>
      <c r="IT4" s="385"/>
      <c r="IU4" s="429"/>
      <c r="IV4" s="385"/>
      <c r="IX4" s="386" t="s">
        <v>327</v>
      </c>
      <c r="IY4" s="430">
        <v>0.43472222222222223</v>
      </c>
      <c r="IZ4" s="408">
        <v>45190</v>
      </c>
      <c r="JA4" s="388">
        <v>33</v>
      </c>
      <c r="JB4" s="385">
        <v>27720</v>
      </c>
      <c r="JC4" s="385"/>
      <c r="JD4" s="385"/>
      <c r="JE4" s="385"/>
      <c r="JF4" s="385"/>
      <c r="JK4" s="379" t="s">
        <v>328</v>
      </c>
      <c r="JL4" s="380"/>
      <c r="JM4" s="381"/>
      <c r="JN4" s="382"/>
      <c r="JO4" s="383"/>
      <c r="JP4" s="431"/>
      <c r="JQ4" s="432"/>
      <c r="JR4" s="433"/>
      <c r="JS4" s="433"/>
      <c r="JT4" s="433"/>
      <c r="JW4" s="434"/>
      <c r="JX4" s="359" t="s">
        <v>329</v>
      </c>
      <c r="JY4" s="435"/>
      <c r="JZ4" s="381"/>
      <c r="KA4" s="436"/>
      <c r="KB4" s="383"/>
      <c r="KC4" s="437"/>
      <c r="KD4" s="438"/>
      <c r="KO4" s="379" t="s">
        <v>330</v>
      </c>
      <c r="KP4" s="383"/>
      <c r="KQ4" s="381">
        <v>45076</v>
      </c>
      <c r="KR4" s="436">
        <v>24</v>
      </c>
      <c r="KS4" s="383">
        <v>3322.4</v>
      </c>
      <c r="KT4" s="384"/>
      <c r="KU4" s="385" t="s">
        <v>331</v>
      </c>
      <c r="KW4" s="386"/>
      <c r="KX4" s="387"/>
      <c r="KY4" s="388"/>
      <c r="KZ4" s="385"/>
      <c r="LA4" s="385"/>
      <c r="LB4" s="439"/>
      <c r="LD4" s="386"/>
      <c r="LE4" s="387"/>
      <c r="LF4" s="388"/>
      <c r="LG4" s="385"/>
      <c r="LH4" s="385"/>
      <c r="LI4" s="439"/>
      <c r="LL4" s="386"/>
      <c r="LM4" s="387"/>
      <c r="LN4" s="388"/>
      <c r="LO4" s="439"/>
      <c r="LS4" s="379" t="s">
        <v>332</v>
      </c>
      <c r="LT4" s="380" t="s">
        <v>333</v>
      </c>
      <c r="LU4" s="408">
        <v>45642</v>
      </c>
      <c r="LV4" s="382">
        <v>895</v>
      </c>
      <c r="LW4" s="383">
        <v>6754.4</v>
      </c>
      <c r="LX4" s="431">
        <v>1</v>
      </c>
      <c r="LY4" s="348">
        <v>7392</v>
      </c>
    </row>
    <row r="5" spans="2:337" ht="15.75" customHeight="1" x14ac:dyDescent="0.25">
      <c r="B5" s="362" t="s">
        <v>247</v>
      </c>
      <c r="C5" s="362"/>
      <c r="D5" s="362" t="s">
        <v>207</v>
      </c>
      <c r="E5" s="362" t="s">
        <v>208</v>
      </c>
      <c r="F5" s="362" t="s">
        <v>209</v>
      </c>
      <c r="G5" s="362" t="s">
        <v>211</v>
      </c>
      <c r="H5" s="362" t="s">
        <v>334</v>
      </c>
      <c r="K5" s="354"/>
      <c r="L5" s="354"/>
      <c r="M5" s="354"/>
      <c r="N5" s="354"/>
      <c r="O5" s="354"/>
      <c r="Q5" s="399" t="s">
        <v>335</v>
      </c>
      <c r="R5" s="386"/>
      <c r="S5" s="387">
        <v>45744</v>
      </c>
      <c r="T5" s="388">
        <v>36</v>
      </c>
      <c r="U5" s="385">
        <v>352</v>
      </c>
      <c r="V5" s="385"/>
      <c r="W5" s="440">
        <v>7964</v>
      </c>
      <c r="X5" s="440"/>
      <c r="Y5" s="440"/>
      <c r="Z5" s="385" t="s">
        <v>336</v>
      </c>
      <c r="AA5" s="441" t="s">
        <v>337</v>
      </c>
      <c r="AB5" s="442" t="s">
        <v>283</v>
      </c>
      <c r="AC5" s="426">
        <v>0.54166666666666663</v>
      </c>
      <c r="AD5" s="408">
        <v>46000</v>
      </c>
      <c r="AE5" s="385">
        <v>40</v>
      </c>
      <c r="AF5" s="385">
        <v>4738</v>
      </c>
      <c r="AG5" s="389"/>
      <c r="AH5" s="385">
        <v>11640</v>
      </c>
      <c r="AI5" s="385" t="s">
        <v>149</v>
      </c>
      <c r="AJ5" s="385" t="s">
        <v>149</v>
      </c>
      <c r="AK5" s="443" t="s">
        <v>325</v>
      </c>
      <c r="AM5" s="442" t="s">
        <v>284</v>
      </c>
      <c r="AN5" s="426">
        <v>0.47083333333333333</v>
      </c>
      <c r="AO5" s="408">
        <v>46086</v>
      </c>
      <c r="AP5" s="385">
        <v>87</v>
      </c>
      <c r="AQ5" s="385">
        <v>7067</v>
      </c>
      <c r="AR5" s="389"/>
      <c r="AS5" s="385">
        <v>11326</v>
      </c>
      <c r="AT5" s="385" t="s">
        <v>168</v>
      </c>
      <c r="AU5" s="385" t="s">
        <v>338</v>
      </c>
      <c r="AV5" s="443" t="s">
        <v>325</v>
      </c>
      <c r="AX5" s="442" t="s">
        <v>339</v>
      </c>
      <c r="AY5" s="426">
        <v>0.375</v>
      </c>
      <c r="AZ5" s="408">
        <v>45919</v>
      </c>
      <c r="BA5" s="444">
        <v>20</v>
      </c>
      <c r="BB5" s="427">
        <v>3440</v>
      </c>
      <c r="BC5" s="427" t="e">
        <f t="shared" ref="BC5:BC38" si="1">BB5-BB4</f>
        <v>#VALUE!</v>
      </c>
      <c r="BD5" s="385">
        <v>10841</v>
      </c>
      <c r="BE5" s="385" t="s">
        <v>149</v>
      </c>
      <c r="BF5" s="385" t="s">
        <v>340</v>
      </c>
      <c r="BG5" s="443" t="s">
        <v>325</v>
      </c>
      <c r="BH5" s="355"/>
      <c r="BI5" s="355"/>
      <c r="BK5" s="386" t="s">
        <v>341</v>
      </c>
      <c r="BL5" s="385"/>
      <c r="BM5" s="387">
        <v>45037</v>
      </c>
      <c r="BN5" s="388">
        <v>108</v>
      </c>
      <c r="BO5" s="385">
        <v>7818</v>
      </c>
      <c r="BP5" s="407">
        <f>(BO5-BO4)/BN4</f>
        <v>0.44838709677419158</v>
      </c>
      <c r="BQ5" s="440"/>
      <c r="BR5" s="385"/>
      <c r="BS5" s="385"/>
      <c r="BT5" s="385"/>
      <c r="BU5" s="355"/>
      <c r="BV5" s="445" t="s">
        <v>342</v>
      </c>
      <c r="BW5" s="423"/>
      <c r="BX5" s="446">
        <v>44999</v>
      </c>
      <c r="BY5" s="422">
        <v>93</v>
      </c>
      <c r="BZ5" s="423">
        <v>8558</v>
      </c>
      <c r="CA5" s="447">
        <f>(BZ5-BZ4)/BY4</f>
        <v>213.95</v>
      </c>
      <c r="CB5" s="385"/>
      <c r="CC5" s="385"/>
      <c r="CD5" s="385"/>
      <c r="CG5" s="386" t="s">
        <v>343</v>
      </c>
      <c r="CH5" s="385" t="s">
        <v>308</v>
      </c>
      <c r="CI5" s="387">
        <v>45112</v>
      </c>
      <c r="CJ5" s="388">
        <v>193</v>
      </c>
      <c r="CK5" s="385">
        <v>30</v>
      </c>
      <c r="CL5" s="389">
        <f>(CK5-CK4)/CJ4</f>
        <v>0.21568627450980393</v>
      </c>
      <c r="CM5" s="390" t="s">
        <v>344</v>
      </c>
      <c r="CN5" s="385"/>
      <c r="CO5" s="385"/>
      <c r="CR5" s="399" t="s">
        <v>345</v>
      </c>
      <c r="CS5" s="426">
        <v>0.50277777777777777</v>
      </c>
      <c r="CT5" s="387">
        <v>45155</v>
      </c>
      <c r="CU5" s="388">
        <v>174</v>
      </c>
      <c r="CV5" s="385"/>
      <c r="CW5" s="391"/>
      <c r="CX5" s="385">
        <v>6601</v>
      </c>
      <c r="CY5" s="385" t="s">
        <v>346</v>
      </c>
      <c r="CZ5" s="448" t="s">
        <v>347</v>
      </c>
      <c r="DC5" s="399" t="s">
        <v>348</v>
      </c>
      <c r="DD5" s="385"/>
      <c r="DE5" s="387">
        <v>45342</v>
      </c>
      <c r="DF5" s="388">
        <v>47</v>
      </c>
      <c r="DG5" s="385">
        <v>5500.4</v>
      </c>
      <c r="DH5" s="449">
        <f>(DG5-DG4)/DF4</f>
        <v>366.69333333333333</v>
      </c>
      <c r="DI5" s="450">
        <v>4829</v>
      </c>
      <c r="DJ5" s="450"/>
      <c r="DK5" s="440"/>
      <c r="DL5" s="385"/>
      <c r="DM5" s="355"/>
      <c r="DN5" s="399" t="s">
        <v>60</v>
      </c>
      <c r="DO5" s="451">
        <v>0.37152777777777779</v>
      </c>
      <c r="DP5" s="421">
        <v>45411</v>
      </c>
      <c r="DQ5" s="452">
        <v>174</v>
      </c>
      <c r="DR5" s="452">
        <v>31.5</v>
      </c>
      <c r="DS5" s="402">
        <f t="shared" ref="DS5:DS68" si="2">(DR5-DR4)/DQ4</f>
        <v>4.4999999999999998E-2</v>
      </c>
      <c r="DT5" s="452">
        <v>5439</v>
      </c>
      <c r="DU5" s="402" t="s">
        <v>308</v>
      </c>
      <c r="DV5" s="452" t="s">
        <v>349</v>
      </c>
      <c r="DW5" s="453"/>
      <c r="DX5" s="386"/>
      <c r="DY5" s="451">
        <v>0.52083333333333337</v>
      </c>
      <c r="DZ5" s="421">
        <v>45512</v>
      </c>
      <c r="EA5" s="452">
        <v>242</v>
      </c>
      <c r="EB5" s="452">
        <v>29.1</v>
      </c>
      <c r="EC5" s="402">
        <f t="shared" ref="EC5:EC55" si="3">(EB5-EB4)/EA4</f>
        <v>4.647887323943662E-2</v>
      </c>
      <c r="ED5" s="452">
        <v>8970</v>
      </c>
      <c r="EE5" s="452" t="s">
        <v>312</v>
      </c>
      <c r="EF5" s="452" t="s">
        <v>313</v>
      </c>
      <c r="EG5" s="385"/>
      <c r="EH5" s="355"/>
      <c r="EI5" s="355"/>
      <c r="EJ5" s="386" t="s">
        <v>350</v>
      </c>
      <c r="EK5" s="426">
        <v>0.34027777777777779</v>
      </c>
      <c r="EL5" s="408">
        <v>45678</v>
      </c>
      <c r="EM5" s="388">
        <v>71</v>
      </c>
      <c r="EN5" s="385">
        <v>1.5</v>
      </c>
      <c r="EO5" s="427">
        <f>EN5-EN4</f>
        <v>0.5</v>
      </c>
      <c r="EP5" s="385">
        <v>8251</v>
      </c>
      <c r="EQ5" s="385" t="s">
        <v>351</v>
      </c>
      <c r="ER5" s="385" t="s">
        <v>149</v>
      </c>
      <c r="ES5" s="385" t="s">
        <v>352</v>
      </c>
      <c r="ET5" s="355"/>
      <c r="EW5" s="386" t="s">
        <v>353</v>
      </c>
      <c r="EX5" s="385"/>
      <c r="EY5" s="387">
        <v>44935</v>
      </c>
      <c r="EZ5" s="388">
        <v>40</v>
      </c>
      <c r="FA5" s="385">
        <v>4811</v>
      </c>
      <c r="FB5" s="407">
        <f>(FA5-FA4)/EZ4</f>
        <v>5.434782608695652E-2</v>
      </c>
      <c r="FC5" s="385"/>
      <c r="FD5" s="385"/>
      <c r="FE5" s="385"/>
      <c r="FG5" s="386"/>
      <c r="FH5" s="426">
        <v>0.48333333333333334</v>
      </c>
      <c r="FI5" s="408">
        <v>45754</v>
      </c>
      <c r="FJ5" s="388">
        <v>30</v>
      </c>
      <c r="FK5" s="385">
        <v>12.4</v>
      </c>
      <c r="FL5" s="407">
        <f>(FK5-FK4)/FJ4</f>
        <v>0.11750000000000001</v>
      </c>
      <c r="FM5" s="385">
        <v>12115</v>
      </c>
      <c r="FN5" s="385" t="s">
        <v>67</v>
      </c>
      <c r="FO5" s="385" t="s">
        <v>354</v>
      </c>
      <c r="FP5" s="385"/>
      <c r="FR5" s="454" t="s">
        <v>355</v>
      </c>
      <c r="FS5" s="385"/>
      <c r="FT5" s="408">
        <v>45225</v>
      </c>
      <c r="FU5" s="388">
        <v>50</v>
      </c>
      <c r="FV5" s="385">
        <v>0</v>
      </c>
      <c r="FW5" s="407">
        <f t="shared" ref="FW5:FW19" si="4">(FV5-FV4)/FU4</f>
        <v>0</v>
      </c>
      <c r="FX5" s="385">
        <v>4425</v>
      </c>
      <c r="FY5" s="385"/>
      <c r="FZ5" s="385"/>
      <c r="GB5" s="415" t="s">
        <v>319</v>
      </c>
      <c r="GC5" s="416"/>
      <c r="GD5" s="417">
        <v>45532</v>
      </c>
      <c r="GE5" s="418">
        <v>62</v>
      </c>
      <c r="GF5" s="418">
        <v>4956</v>
      </c>
      <c r="GG5" s="407">
        <f t="shared" si="0"/>
        <v>275.33333333333331</v>
      </c>
      <c r="GH5" s="385">
        <v>6175</v>
      </c>
      <c r="GI5" s="418" t="s">
        <v>356</v>
      </c>
      <c r="GJ5" s="418" t="s">
        <v>320</v>
      </c>
      <c r="GK5" s="385"/>
      <c r="GM5" s="419" t="s">
        <v>321</v>
      </c>
      <c r="GN5" s="455">
        <v>0.40277777777777779</v>
      </c>
      <c r="GO5" s="408">
        <v>45517</v>
      </c>
      <c r="GP5" s="422">
        <v>70</v>
      </c>
      <c r="GQ5" s="423">
        <v>4736</v>
      </c>
      <c r="GR5" s="423"/>
      <c r="GS5" s="424">
        <v>6125</v>
      </c>
      <c r="GT5" s="424" t="s">
        <v>320</v>
      </c>
      <c r="GU5" s="385" t="s">
        <v>124</v>
      </c>
      <c r="GX5" s="419" t="s">
        <v>290</v>
      </c>
      <c r="GY5" s="420">
        <v>0.66319444444444442</v>
      </c>
      <c r="GZ5" s="425">
        <v>45532</v>
      </c>
      <c r="HA5" s="422">
        <v>69</v>
      </c>
      <c r="HB5" s="423">
        <v>2734</v>
      </c>
      <c r="HC5" s="423"/>
      <c r="HD5" s="424"/>
      <c r="HE5" s="424" t="s">
        <v>322</v>
      </c>
      <c r="HF5" s="385" t="s">
        <v>323</v>
      </c>
      <c r="HH5" s="409" t="s">
        <v>291</v>
      </c>
      <c r="HI5" s="426">
        <v>0.5</v>
      </c>
      <c r="HJ5" s="408">
        <v>46029</v>
      </c>
      <c r="HK5" s="388">
        <v>70</v>
      </c>
      <c r="HL5" s="385"/>
      <c r="HM5" s="427">
        <f t="shared" ref="HM5:HM15" si="5">HL5-HL4</f>
        <v>0</v>
      </c>
      <c r="HN5" s="385">
        <v>10488</v>
      </c>
      <c r="HO5" s="385"/>
      <c r="HP5" s="385" t="s">
        <v>149</v>
      </c>
      <c r="HQ5" s="448" t="s">
        <v>357</v>
      </c>
      <c r="HT5" s="386" t="s">
        <v>358</v>
      </c>
      <c r="HU5" s="385"/>
      <c r="HV5" s="387">
        <v>44903</v>
      </c>
      <c r="HW5" s="388">
        <v>14</v>
      </c>
      <c r="HX5" s="385">
        <v>12339</v>
      </c>
      <c r="HY5" s="385"/>
      <c r="HZ5" s="385"/>
      <c r="ID5" s="409" t="s">
        <v>292</v>
      </c>
      <c r="IE5" s="430">
        <v>0.53472222222222221</v>
      </c>
      <c r="IF5" s="408">
        <v>46000</v>
      </c>
      <c r="IG5" s="388">
        <v>20</v>
      </c>
      <c r="IH5" s="385">
        <v>1008</v>
      </c>
      <c r="II5" s="385">
        <f>IH5-IH4</f>
        <v>15</v>
      </c>
      <c r="IJ5" s="385">
        <v>11639</v>
      </c>
      <c r="IK5" s="385" t="s">
        <v>320</v>
      </c>
      <c r="IL5" s="385" t="s">
        <v>359</v>
      </c>
      <c r="IO5" s="386" t="s">
        <v>360</v>
      </c>
      <c r="IP5" s="385"/>
      <c r="IQ5" s="387">
        <v>45055</v>
      </c>
      <c r="IR5" s="388">
        <v>27</v>
      </c>
      <c r="IS5" s="385">
        <v>0</v>
      </c>
      <c r="IT5" s="407">
        <f>(IS5-IS4)/IR4</f>
        <v>0</v>
      </c>
      <c r="IU5" s="429"/>
      <c r="IV5" s="385"/>
      <c r="IX5" s="386" t="s">
        <v>327</v>
      </c>
      <c r="IY5" s="426">
        <v>0.48888888888888887</v>
      </c>
      <c r="IZ5" s="408">
        <v>45293</v>
      </c>
      <c r="JA5" s="388">
        <v>14</v>
      </c>
      <c r="JB5" s="385"/>
      <c r="JC5" s="385"/>
      <c r="JD5" s="385"/>
      <c r="JE5" s="385"/>
      <c r="JF5" s="385"/>
      <c r="JK5" s="451" t="s">
        <v>361</v>
      </c>
      <c r="JL5" s="413"/>
      <c r="JM5" s="408">
        <v>45169</v>
      </c>
      <c r="JN5" s="385">
        <v>25</v>
      </c>
      <c r="JO5" s="385">
        <v>2743</v>
      </c>
      <c r="JP5" s="407">
        <v>0</v>
      </c>
      <c r="JQ5" s="440">
        <v>6723</v>
      </c>
      <c r="JR5" s="429"/>
      <c r="JS5" s="429"/>
      <c r="JT5" s="429"/>
      <c r="JW5" s="399" t="s">
        <v>293</v>
      </c>
      <c r="JX5" s="451">
        <v>0.69791666666666663</v>
      </c>
      <c r="JY5" s="408">
        <v>45245</v>
      </c>
      <c r="JZ5" s="385">
        <v>77</v>
      </c>
      <c r="KA5" s="385">
        <v>0</v>
      </c>
      <c r="KB5" s="456" t="e">
        <f>(KA5-KA4)/JZ4</f>
        <v>#DIV/0!</v>
      </c>
      <c r="KC5" s="385">
        <v>6988</v>
      </c>
      <c r="KD5" s="385"/>
      <c r="KE5" s="385"/>
      <c r="KO5" s="457"/>
      <c r="KP5" s="458"/>
      <c r="KQ5" s="459">
        <v>45089</v>
      </c>
      <c r="KR5" s="460">
        <v>10</v>
      </c>
      <c r="KS5" s="461">
        <v>0</v>
      </c>
      <c r="KT5" s="447">
        <f t="shared" ref="KT5:KT11" si="6">(KS5-KS4)/KR4</f>
        <v>-138.43333333333334</v>
      </c>
      <c r="KU5" s="385" t="s">
        <v>362</v>
      </c>
      <c r="KV5" s="348" t="s">
        <v>363</v>
      </c>
      <c r="KW5" s="386" t="s">
        <v>364</v>
      </c>
      <c r="KX5" s="387">
        <v>45266</v>
      </c>
      <c r="KY5" s="388">
        <v>58</v>
      </c>
      <c r="KZ5" s="385">
        <v>0</v>
      </c>
      <c r="LA5" s="407" t="e">
        <f>(KZ5-KZ4)/KY4</f>
        <v>#DIV/0!</v>
      </c>
      <c r="LB5" s="439">
        <v>7196</v>
      </c>
      <c r="LC5" s="434" t="s">
        <v>365</v>
      </c>
      <c r="LD5" s="386" t="s">
        <v>366</v>
      </c>
      <c r="LE5" s="387">
        <v>45265</v>
      </c>
      <c r="LF5" s="388">
        <v>20</v>
      </c>
      <c r="LG5" s="385">
        <v>7577.8</v>
      </c>
      <c r="LH5" s="407" t="e">
        <f>(LG5-LG4)/LF4</f>
        <v>#DIV/0!</v>
      </c>
      <c r="LI5" s="439">
        <v>7179</v>
      </c>
      <c r="LK5" s="462" t="s">
        <v>367</v>
      </c>
      <c r="LL5" s="386" t="s">
        <v>368</v>
      </c>
      <c r="LM5" s="463">
        <v>45306</v>
      </c>
      <c r="LN5" s="464">
        <v>413</v>
      </c>
      <c r="LO5" s="465">
        <v>7631</v>
      </c>
      <c r="LS5" s="445"/>
      <c r="LT5" s="423"/>
      <c r="LU5" s="408">
        <v>0</v>
      </c>
      <c r="LV5" s="422">
        <v>10</v>
      </c>
      <c r="LW5" s="423">
        <v>0</v>
      </c>
      <c r="LX5" s="466">
        <f t="shared" ref="LX5:LX13" si="7">(LW5-LW4)/LV4</f>
        <v>-7.5468156424581005</v>
      </c>
    </row>
    <row r="6" spans="2:337" ht="15.75" customHeight="1" x14ac:dyDescent="0.25">
      <c r="B6" s="467" t="s">
        <v>369</v>
      </c>
      <c r="C6" s="467"/>
      <c r="D6" s="421">
        <v>45880</v>
      </c>
      <c r="E6" s="452">
        <v>80</v>
      </c>
      <c r="F6" s="452"/>
      <c r="G6" s="452">
        <v>9925</v>
      </c>
      <c r="H6" s="452" t="s">
        <v>370</v>
      </c>
      <c r="K6" s="354"/>
      <c r="L6" s="354"/>
      <c r="M6" s="354"/>
      <c r="N6" s="354"/>
      <c r="O6" s="354"/>
      <c r="Q6" s="399" t="s">
        <v>335</v>
      </c>
      <c r="R6" s="430">
        <v>0.5131944444444444</v>
      </c>
      <c r="S6" s="387">
        <v>45745</v>
      </c>
      <c r="T6" s="388">
        <v>22</v>
      </c>
      <c r="U6" s="385">
        <v>358.8</v>
      </c>
      <c r="V6" s="385"/>
      <c r="W6" s="440">
        <v>9264</v>
      </c>
      <c r="X6" s="440" t="s">
        <v>308</v>
      </c>
      <c r="Y6" s="468" t="s">
        <v>371</v>
      </c>
      <c r="Z6" s="469"/>
      <c r="AB6" s="442" t="s">
        <v>283</v>
      </c>
      <c r="AC6" s="426">
        <v>0.33333333333333331</v>
      </c>
      <c r="AD6" s="408">
        <v>46050</v>
      </c>
      <c r="AE6" s="385">
        <v>94</v>
      </c>
      <c r="AF6" s="385">
        <v>4741</v>
      </c>
      <c r="AG6" s="389">
        <f t="shared" ref="AG6:AG23" si="8">AF6-AF5</f>
        <v>3</v>
      </c>
      <c r="AH6" s="385">
        <v>11151</v>
      </c>
      <c r="AI6" s="385" t="s">
        <v>149</v>
      </c>
      <c r="AJ6" s="385" t="s">
        <v>149</v>
      </c>
      <c r="AK6" s="470" t="s">
        <v>372</v>
      </c>
      <c r="AM6" s="442" t="s">
        <v>284</v>
      </c>
      <c r="AN6" s="426">
        <v>0.86805555555555558</v>
      </c>
      <c r="AO6" s="408">
        <v>46090</v>
      </c>
      <c r="AP6" s="385">
        <v>93</v>
      </c>
      <c r="AQ6" s="471">
        <v>7067</v>
      </c>
      <c r="AR6" s="389">
        <f>AQ6-AQ5</f>
        <v>0</v>
      </c>
      <c r="AS6" s="385">
        <v>11347</v>
      </c>
      <c r="AT6" s="385" t="s">
        <v>168</v>
      </c>
      <c r="AU6" s="385" t="s">
        <v>338</v>
      </c>
      <c r="AV6" s="470"/>
      <c r="AX6" s="442" t="s">
        <v>339</v>
      </c>
      <c r="AY6" s="426">
        <v>0.35416666666666669</v>
      </c>
      <c r="AZ6" s="408">
        <v>45950</v>
      </c>
      <c r="BA6" s="444">
        <v>356</v>
      </c>
      <c r="BB6" s="427">
        <v>3440</v>
      </c>
      <c r="BC6" s="427">
        <f t="shared" si="1"/>
        <v>0</v>
      </c>
      <c r="BD6" s="385">
        <v>11558</v>
      </c>
      <c r="BE6" s="385" t="s">
        <v>308</v>
      </c>
      <c r="BF6" s="385" t="s">
        <v>340</v>
      </c>
      <c r="BG6" s="470" t="s">
        <v>373</v>
      </c>
      <c r="BH6" s="355"/>
      <c r="BI6" s="355"/>
      <c r="BK6" s="385"/>
      <c r="BL6" s="385"/>
      <c r="BM6" s="387">
        <v>45040</v>
      </c>
      <c r="BN6" s="388">
        <v>23</v>
      </c>
      <c r="BO6" s="385">
        <v>7824</v>
      </c>
      <c r="BP6" s="407">
        <f t="shared" ref="BP6:BP53" si="9">(BO6-BO5)/BN5</f>
        <v>5.5555555555555552E-2</v>
      </c>
      <c r="BQ6" s="440"/>
      <c r="BR6" s="385"/>
      <c r="BS6" s="385"/>
      <c r="BT6" s="385"/>
      <c r="BU6" s="355"/>
      <c r="BV6" s="472"/>
      <c r="BW6" s="423"/>
      <c r="BX6" s="446">
        <v>45001</v>
      </c>
      <c r="BY6" s="422">
        <v>92</v>
      </c>
      <c r="BZ6" s="423">
        <v>8579</v>
      </c>
      <c r="CA6" s="447">
        <f t="shared" ref="CA6:CA53" si="10">(BZ6-BZ5)/BY5</f>
        <v>0.22580645161290322</v>
      </c>
      <c r="CB6" s="385"/>
      <c r="CC6" s="385"/>
      <c r="CD6" s="385"/>
      <c r="CG6" s="385"/>
      <c r="CH6" s="385" t="s">
        <v>308</v>
      </c>
      <c r="CI6" s="387">
        <v>45114</v>
      </c>
      <c r="CJ6" s="388">
        <v>188</v>
      </c>
      <c r="CK6" s="385">
        <v>48</v>
      </c>
      <c r="CL6" s="389">
        <f>(CK6-CK5)/CJ5</f>
        <v>9.3264248704663211E-2</v>
      </c>
      <c r="CM6" s="390" t="s">
        <v>374</v>
      </c>
      <c r="CN6" s="385"/>
      <c r="CO6" s="385"/>
      <c r="CR6" s="399" t="s">
        <v>345</v>
      </c>
      <c r="CS6" s="426">
        <v>0.67708333333333337</v>
      </c>
      <c r="CT6" s="387">
        <v>45365</v>
      </c>
      <c r="CU6" s="388">
        <v>202</v>
      </c>
      <c r="CV6" s="385">
        <v>5496.5</v>
      </c>
      <c r="CW6" s="429"/>
      <c r="CX6" s="385">
        <v>5090</v>
      </c>
      <c r="CY6" s="385" t="s">
        <v>346</v>
      </c>
      <c r="CZ6" s="385" t="s">
        <v>375</v>
      </c>
      <c r="DC6" s="399" t="s">
        <v>348</v>
      </c>
      <c r="DD6" s="451">
        <v>0.75277777777777777</v>
      </c>
      <c r="DE6" s="473">
        <v>45348</v>
      </c>
      <c r="DF6" s="474">
        <v>49</v>
      </c>
      <c r="DG6" s="452">
        <v>0</v>
      </c>
      <c r="DH6" s="475">
        <f t="shared" ref="DH6:DH15" si="11">(DG6-DG5)/DF5</f>
        <v>-117.02978723404254</v>
      </c>
      <c r="DI6" s="452">
        <v>8417</v>
      </c>
      <c r="DJ6" s="452"/>
      <c r="DK6" s="476"/>
      <c r="DL6" s="452"/>
      <c r="DM6" s="355"/>
      <c r="DO6" s="426">
        <v>0.64166666666666672</v>
      </c>
      <c r="DP6" s="408">
        <v>45418</v>
      </c>
      <c r="DQ6" s="385">
        <v>226</v>
      </c>
      <c r="DR6" s="385">
        <v>71</v>
      </c>
      <c r="DS6" s="402">
        <f t="shared" si="2"/>
        <v>0.22701149425287356</v>
      </c>
      <c r="DT6" s="385">
        <v>5609</v>
      </c>
      <c r="DU6" s="402" t="s">
        <v>308</v>
      </c>
      <c r="DV6" s="385"/>
      <c r="DX6" s="399" t="s">
        <v>286</v>
      </c>
      <c r="DY6" s="404">
        <v>0.4513888888888889</v>
      </c>
      <c r="DZ6" s="405">
        <v>45514</v>
      </c>
      <c r="EA6" s="406">
        <v>280</v>
      </c>
      <c r="EB6" s="406">
        <v>52.9</v>
      </c>
      <c r="EC6" s="477">
        <f t="shared" si="3"/>
        <v>9.8347107438016515E-2</v>
      </c>
      <c r="ED6" s="348">
        <v>8975</v>
      </c>
      <c r="EE6" s="406" t="s">
        <v>312</v>
      </c>
      <c r="EF6" s="406" t="s">
        <v>313</v>
      </c>
      <c r="EG6" s="385"/>
      <c r="EH6" s="355"/>
      <c r="EI6" s="355"/>
      <c r="EJ6" s="409" t="s">
        <v>376</v>
      </c>
      <c r="EK6" s="426">
        <v>0.41666666666666669</v>
      </c>
      <c r="EL6" s="408">
        <v>45680</v>
      </c>
      <c r="EM6" s="388">
        <v>95</v>
      </c>
      <c r="EN6" s="385">
        <v>22.3</v>
      </c>
      <c r="EO6" s="427">
        <f t="shared" ref="EO6:EO33" si="12">EN6-EN5</f>
        <v>20.8</v>
      </c>
      <c r="EP6" s="385">
        <v>14006</v>
      </c>
      <c r="EQ6" s="385" t="s">
        <v>351</v>
      </c>
      <c r="ER6" s="385" t="s">
        <v>377</v>
      </c>
      <c r="ES6" s="385"/>
      <c r="ET6" s="355"/>
      <c r="EW6" s="385" t="s">
        <v>378</v>
      </c>
      <c r="EX6" s="385"/>
      <c r="EY6" s="387">
        <v>44937</v>
      </c>
      <c r="EZ6" s="388">
        <v>41</v>
      </c>
      <c r="FA6" s="385">
        <v>4821</v>
      </c>
      <c r="FB6" s="407">
        <f t="shared" ref="FB6:FB35" si="13">(FA6-FA5)/EZ5</f>
        <v>0.25</v>
      </c>
      <c r="FC6" s="385"/>
      <c r="FD6" s="385"/>
      <c r="FE6" s="385"/>
      <c r="FG6" s="386"/>
      <c r="FH6" s="426">
        <v>0.69097222222222221</v>
      </c>
      <c r="FI6" s="408">
        <v>45756</v>
      </c>
      <c r="FJ6" s="388">
        <v>60</v>
      </c>
      <c r="FK6" s="385">
        <v>29.3</v>
      </c>
      <c r="FL6" s="407">
        <f>(FK6-FK5)/FJ5</f>
        <v>0.56333333333333324</v>
      </c>
      <c r="FM6" s="385">
        <v>12145</v>
      </c>
      <c r="FN6" s="385" t="s">
        <v>173</v>
      </c>
      <c r="FO6" s="385" t="s">
        <v>354</v>
      </c>
      <c r="FP6" s="385"/>
      <c r="FR6" s="424"/>
      <c r="FS6" s="426">
        <v>0.4284722222222222</v>
      </c>
      <c r="FT6" s="408">
        <v>45229</v>
      </c>
      <c r="FU6" s="388">
        <v>61</v>
      </c>
      <c r="FV6" s="385">
        <v>0</v>
      </c>
      <c r="FW6" s="407">
        <f t="shared" si="4"/>
        <v>0</v>
      </c>
      <c r="FX6" s="385">
        <v>4433</v>
      </c>
      <c r="FY6" s="385"/>
      <c r="FZ6" s="385"/>
      <c r="GB6" s="355"/>
      <c r="GC6" s="478">
        <v>0.41111111111111109</v>
      </c>
      <c r="GD6" s="479">
        <v>45534</v>
      </c>
      <c r="GE6" s="480">
        <v>20</v>
      </c>
      <c r="GF6" s="480">
        <v>4956</v>
      </c>
      <c r="GG6" s="407">
        <f t="shared" si="0"/>
        <v>0</v>
      </c>
      <c r="GH6" s="452">
        <v>9023</v>
      </c>
      <c r="GI6" s="480" t="s">
        <v>379</v>
      </c>
      <c r="GJ6" s="480" t="s">
        <v>380</v>
      </c>
      <c r="GK6" s="452"/>
      <c r="GM6" s="419" t="s">
        <v>321</v>
      </c>
      <c r="GN6" s="420"/>
      <c r="GO6" s="421">
        <v>45526</v>
      </c>
      <c r="GP6" s="422">
        <v>37</v>
      </c>
      <c r="GQ6" s="423">
        <v>4749</v>
      </c>
      <c r="GR6" s="481">
        <f t="shared" ref="GR6:GR12" si="14">(GQ6-GQ5)/GP5</f>
        <v>0.18571428571428572</v>
      </c>
      <c r="GS6" s="424">
        <v>6560</v>
      </c>
      <c r="GT6" s="424" t="s">
        <v>381</v>
      </c>
      <c r="GU6" s="385" t="s">
        <v>382</v>
      </c>
      <c r="GX6" s="419" t="s">
        <v>290</v>
      </c>
      <c r="GY6" s="482"/>
      <c r="GZ6" s="483">
        <v>45554</v>
      </c>
      <c r="HA6" s="484">
        <v>39</v>
      </c>
      <c r="HB6" s="482"/>
      <c r="HC6" s="482">
        <f>(HB6-HB5)/HA5</f>
        <v>-39.623188405797102</v>
      </c>
      <c r="HD6" s="485"/>
      <c r="HE6" s="486" t="s">
        <v>322</v>
      </c>
      <c r="HF6" s="452" t="s">
        <v>323</v>
      </c>
      <c r="HH6" s="409" t="s">
        <v>291</v>
      </c>
      <c r="HI6" s="487">
        <v>0.37916666666666665</v>
      </c>
      <c r="HJ6" s="488">
        <v>46070</v>
      </c>
      <c r="HK6" s="489">
        <v>21</v>
      </c>
      <c r="HL6" s="410"/>
      <c r="HM6" s="490">
        <f t="shared" si="5"/>
        <v>0</v>
      </c>
      <c r="HN6" s="410">
        <v>10494</v>
      </c>
      <c r="HO6" s="410"/>
      <c r="HP6" s="410" t="s">
        <v>383</v>
      </c>
      <c r="HT6" s="385"/>
      <c r="HU6" s="385"/>
      <c r="HV6" s="387">
        <v>45055</v>
      </c>
      <c r="HW6" s="388">
        <v>19</v>
      </c>
      <c r="HX6" s="385" t="s">
        <v>384</v>
      </c>
      <c r="HY6" s="385"/>
      <c r="HZ6" s="385"/>
      <c r="ID6" s="409" t="s">
        <v>292</v>
      </c>
      <c r="IE6" s="430">
        <v>0.53125</v>
      </c>
      <c r="IF6" s="408">
        <v>46084</v>
      </c>
      <c r="IG6" s="388">
        <v>28</v>
      </c>
      <c r="IH6" s="385">
        <v>1008</v>
      </c>
      <c r="II6" s="385">
        <f>IH6-IH5</f>
        <v>0</v>
      </c>
      <c r="IJ6" s="385">
        <v>11314</v>
      </c>
      <c r="IK6" s="385"/>
      <c r="IL6" s="385" t="s">
        <v>304</v>
      </c>
      <c r="IO6" s="385" t="s">
        <v>385</v>
      </c>
      <c r="IP6" s="491">
        <v>0.3527777777777778</v>
      </c>
      <c r="IQ6" s="492">
        <v>45230</v>
      </c>
      <c r="IR6" s="493">
        <v>29</v>
      </c>
      <c r="IS6" s="469">
        <v>0</v>
      </c>
      <c r="IT6" s="494">
        <v>0</v>
      </c>
      <c r="IU6" s="495"/>
      <c r="IV6" s="385"/>
      <c r="IX6" s="386" t="s">
        <v>327</v>
      </c>
      <c r="IY6" s="426">
        <v>0.54513888888888895</v>
      </c>
      <c r="IZ6" s="408">
        <v>45302</v>
      </c>
      <c r="JA6" s="388">
        <v>60</v>
      </c>
      <c r="JB6" s="385"/>
      <c r="JC6" s="385"/>
      <c r="JD6" s="385">
        <v>7686</v>
      </c>
      <c r="JE6" s="385"/>
      <c r="JF6" s="385"/>
      <c r="JK6" s="385"/>
      <c r="JL6" s="426"/>
      <c r="JM6" s="408">
        <v>45201</v>
      </c>
      <c r="JN6" s="385">
        <v>20</v>
      </c>
      <c r="JO6" s="385">
        <v>2785.9</v>
      </c>
      <c r="JP6" s="407">
        <v>0</v>
      </c>
      <c r="JQ6" s="440">
        <v>5885</v>
      </c>
      <c r="JR6" s="429"/>
      <c r="JS6" s="429"/>
      <c r="JT6" s="429"/>
      <c r="JW6" s="399" t="s">
        <v>293</v>
      </c>
      <c r="JX6" s="426">
        <v>0.59236111111111112</v>
      </c>
      <c r="JY6" s="408">
        <v>45251</v>
      </c>
      <c r="JZ6" s="385">
        <v>41</v>
      </c>
      <c r="KA6" s="385">
        <v>0</v>
      </c>
      <c r="KB6" s="456">
        <f>(KA6-KA5)/JZ5</f>
        <v>0</v>
      </c>
      <c r="KC6" s="385">
        <v>7040</v>
      </c>
      <c r="KD6" s="385"/>
      <c r="KE6" s="385"/>
      <c r="KO6" s="496"/>
      <c r="KP6" s="497"/>
      <c r="KQ6" s="498">
        <v>45112</v>
      </c>
      <c r="KR6" s="499">
        <v>39</v>
      </c>
      <c r="KS6" s="500">
        <v>3353.6</v>
      </c>
      <c r="KT6" s="501">
        <f t="shared" si="6"/>
        <v>335.36</v>
      </c>
      <c r="KU6" s="385" t="s">
        <v>386</v>
      </c>
      <c r="KW6" s="386" t="s">
        <v>364</v>
      </c>
      <c r="KX6" s="463">
        <v>45302</v>
      </c>
      <c r="KY6" s="464">
        <v>114</v>
      </c>
      <c r="KZ6" s="502">
        <v>0</v>
      </c>
      <c r="LA6" s="503">
        <f t="shared" ref="LA6:LA26" si="15">(KZ6-KZ5)/KY5</f>
        <v>0</v>
      </c>
      <c r="LB6" s="465">
        <v>7691</v>
      </c>
      <c r="LD6" s="386" t="s">
        <v>366</v>
      </c>
      <c r="LE6" s="387">
        <v>45275</v>
      </c>
      <c r="LF6" s="388">
        <v>100</v>
      </c>
      <c r="LG6" s="385">
        <v>9605.9</v>
      </c>
      <c r="LH6" s="407">
        <f t="shared" ref="LH6:LH26" si="16">(LG6-LG5)/LF5</f>
        <v>101.40499999999997</v>
      </c>
      <c r="LI6" s="504">
        <v>4586</v>
      </c>
      <c r="LL6" s="386" t="s">
        <v>368</v>
      </c>
      <c r="LM6" s="463">
        <v>45310</v>
      </c>
      <c r="LN6" s="464">
        <v>224</v>
      </c>
      <c r="LO6" s="465">
        <v>7745</v>
      </c>
      <c r="LS6" s="472"/>
      <c r="LT6" s="423"/>
      <c r="LU6" s="408">
        <v>44959</v>
      </c>
      <c r="LV6" s="422">
        <v>18</v>
      </c>
      <c r="LW6" s="423">
        <v>0</v>
      </c>
      <c r="LX6" s="466">
        <f t="shared" si="7"/>
        <v>0</v>
      </c>
    </row>
    <row r="7" spans="2:337" ht="15.75" customHeight="1" thickBot="1" x14ac:dyDescent="0.3">
      <c r="B7" s="467" t="s">
        <v>369</v>
      </c>
      <c r="C7" s="467"/>
      <c r="D7" s="421">
        <v>45891</v>
      </c>
      <c r="E7" s="452">
        <v>82</v>
      </c>
      <c r="F7" s="452"/>
      <c r="G7" s="452">
        <v>10264</v>
      </c>
      <c r="H7" s="452" t="s">
        <v>304</v>
      </c>
      <c r="K7" s="354"/>
      <c r="L7" s="354"/>
      <c r="M7" s="354"/>
      <c r="N7" s="354"/>
      <c r="O7" s="354"/>
      <c r="Q7" s="399" t="s">
        <v>335</v>
      </c>
      <c r="R7" s="430"/>
      <c r="S7" s="387">
        <v>45752</v>
      </c>
      <c r="T7" s="505">
        <v>30</v>
      </c>
      <c r="U7" s="506"/>
      <c r="V7" s="506"/>
      <c r="W7" s="507">
        <v>8603</v>
      </c>
      <c r="X7" s="507" t="s">
        <v>308</v>
      </c>
      <c r="Y7" s="507" t="s">
        <v>371</v>
      </c>
      <c r="Z7" s="506" t="s">
        <v>387</v>
      </c>
      <c r="AB7" s="354"/>
      <c r="AC7" s="426">
        <v>0.51458333333333328</v>
      </c>
      <c r="AD7" s="408">
        <v>46052</v>
      </c>
      <c r="AE7" s="385">
        <v>102</v>
      </c>
      <c r="AF7" s="385">
        <v>4757</v>
      </c>
      <c r="AG7" s="389">
        <f t="shared" si="8"/>
        <v>16</v>
      </c>
      <c r="AH7" s="385">
        <v>10691</v>
      </c>
      <c r="AI7" s="385" t="s">
        <v>388</v>
      </c>
      <c r="AJ7" s="385" t="s">
        <v>383</v>
      </c>
      <c r="AK7" s="470"/>
      <c r="AM7" s="354"/>
      <c r="AN7" s="426">
        <v>0.48194444444444445</v>
      </c>
      <c r="AO7" s="408">
        <v>46093</v>
      </c>
      <c r="AP7" s="385">
        <v>97</v>
      </c>
      <c r="AQ7" s="385">
        <v>7121</v>
      </c>
      <c r="AR7" s="389">
        <f>AQ7-AQ6</f>
        <v>54</v>
      </c>
      <c r="AS7" s="385">
        <v>11762</v>
      </c>
      <c r="AT7" s="385" t="s">
        <v>168</v>
      </c>
      <c r="AU7" s="385" t="s">
        <v>338</v>
      </c>
      <c r="AV7" s="470"/>
      <c r="AY7" s="426">
        <v>0.72361111111111109</v>
      </c>
      <c r="AZ7" s="408">
        <v>45951</v>
      </c>
      <c r="BA7" s="444">
        <v>250</v>
      </c>
      <c r="BB7" s="427">
        <v>3446</v>
      </c>
      <c r="BC7" s="427">
        <f t="shared" si="1"/>
        <v>6</v>
      </c>
      <c r="BD7" s="385">
        <v>11562</v>
      </c>
      <c r="BE7" s="385" t="s">
        <v>308</v>
      </c>
      <c r="BF7" s="385" t="s">
        <v>389</v>
      </c>
      <c r="BG7" s="470"/>
      <c r="BH7" s="355"/>
      <c r="BI7" s="355"/>
      <c r="BK7" s="385"/>
      <c r="BL7" s="385"/>
      <c r="BM7" s="387">
        <v>45042</v>
      </c>
      <c r="BN7" s="388">
        <v>115</v>
      </c>
      <c r="BO7" s="385">
        <v>7841</v>
      </c>
      <c r="BP7" s="407">
        <f>(BO7-BO6)/BN6</f>
        <v>0.73913043478260865</v>
      </c>
      <c r="BQ7" s="440"/>
      <c r="BR7" s="385"/>
      <c r="BS7" s="385"/>
      <c r="BT7" s="385"/>
      <c r="BU7" s="355"/>
      <c r="BV7" s="472"/>
      <c r="BW7" s="423"/>
      <c r="BX7" s="446">
        <v>45003</v>
      </c>
      <c r="BY7" s="422">
        <v>100</v>
      </c>
      <c r="BZ7" s="423">
        <v>8597.1</v>
      </c>
      <c r="CA7" s="447">
        <f>(BZ7-BZ6)/BY6</f>
        <v>0.19673913043478655</v>
      </c>
      <c r="CB7" s="385"/>
      <c r="CC7" s="385"/>
      <c r="CD7" s="385"/>
      <c r="CG7" s="385"/>
      <c r="CH7" s="385" t="s">
        <v>308</v>
      </c>
      <c r="CI7" s="387">
        <v>45115</v>
      </c>
      <c r="CJ7" s="388">
        <v>94</v>
      </c>
      <c r="CK7" s="385">
        <v>58</v>
      </c>
      <c r="CL7" s="389">
        <f t="shared" ref="CL7:CL70" si="17">(CK7-CK6)/CJ6</f>
        <v>5.3191489361702128E-2</v>
      </c>
      <c r="CM7" s="390">
        <v>6289</v>
      </c>
      <c r="CN7" s="385"/>
      <c r="CO7" s="385"/>
      <c r="CR7" s="385"/>
      <c r="CS7" s="426">
        <v>0.70902777777777781</v>
      </c>
      <c r="CT7" s="387">
        <v>45366</v>
      </c>
      <c r="CU7" s="388">
        <v>82</v>
      </c>
      <c r="CV7" s="385">
        <v>5504.6</v>
      </c>
      <c r="CW7" s="429"/>
      <c r="CX7" s="385">
        <v>5155</v>
      </c>
      <c r="CY7" s="385" t="s">
        <v>346</v>
      </c>
      <c r="CZ7" s="385" t="s">
        <v>375</v>
      </c>
      <c r="DC7" s="399" t="s">
        <v>348</v>
      </c>
      <c r="DD7" s="385"/>
      <c r="DE7" s="387">
        <v>45357</v>
      </c>
      <c r="DF7" s="388">
        <v>50</v>
      </c>
      <c r="DG7" s="385">
        <v>0</v>
      </c>
      <c r="DH7" s="449">
        <f t="shared" si="11"/>
        <v>0</v>
      </c>
      <c r="DI7" s="385">
        <v>8370</v>
      </c>
      <c r="DJ7" s="385"/>
      <c r="DK7" s="440"/>
      <c r="DL7" s="385"/>
      <c r="DM7" s="355"/>
      <c r="DN7" s="355"/>
      <c r="DO7" s="426">
        <v>0.60277777777777775</v>
      </c>
      <c r="DP7" s="408">
        <v>45421</v>
      </c>
      <c r="DQ7" s="385">
        <v>317</v>
      </c>
      <c r="DR7" s="385">
        <v>91</v>
      </c>
      <c r="DS7" s="402">
        <f t="shared" si="2"/>
        <v>8.8495575221238937E-2</v>
      </c>
      <c r="DT7" s="385">
        <v>5636</v>
      </c>
      <c r="DU7" s="402" t="s">
        <v>308</v>
      </c>
      <c r="DV7" s="385" t="s">
        <v>390</v>
      </c>
      <c r="DX7" s="355"/>
      <c r="DY7" s="478"/>
      <c r="DZ7" s="479">
        <v>45518</v>
      </c>
      <c r="EA7" s="480">
        <v>194</v>
      </c>
      <c r="EB7" s="480">
        <v>70.5</v>
      </c>
      <c r="EC7" s="402">
        <f t="shared" si="3"/>
        <v>6.2857142857142861E-2</v>
      </c>
      <c r="ED7" s="452">
        <v>8993</v>
      </c>
      <c r="EE7" s="480" t="s">
        <v>312</v>
      </c>
      <c r="EF7" s="480" t="s">
        <v>313</v>
      </c>
      <c r="EG7" s="385"/>
      <c r="EH7" s="355"/>
      <c r="EI7" s="355"/>
      <c r="EJ7" s="409" t="s">
        <v>376</v>
      </c>
      <c r="EK7" s="426">
        <v>0.69166666666666665</v>
      </c>
      <c r="EL7" s="408">
        <v>45684</v>
      </c>
      <c r="EM7" s="388">
        <v>86</v>
      </c>
      <c r="EN7" s="385">
        <v>47</v>
      </c>
      <c r="EO7" s="427">
        <f t="shared" si="12"/>
        <v>24.7</v>
      </c>
      <c r="EP7" s="385">
        <v>14032</v>
      </c>
      <c r="EQ7" s="385" t="s">
        <v>351</v>
      </c>
      <c r="ER7" s="385" t="s">
        <v>377</v>
      </c>
      <c r="ES7" s="385"/>
      <c r="ET7" s="355"/>
      <c r="EW7" s="385"/>
      <c r="EX7" s="385"/>
      <c r="EY7" s="387">
        <v>44949</v>
      </c>
      <c r="EZ7" s="388" t="s">
        <v>391</v>
      </c>
      <c r="FA7" s="385">
        <v>4826</v>
      </c>
      <c r="FB7" s="407">
        <f>(FA7-FA6)/EZ6</f>
        <v>0.12195121951219512</v>
      </c>
      <c r="FC7" s="385"/>
      <c r="FD7" s="385"/>
      <c r="FE7" s="385"/>
      <c r="FG7" s="409" t="s">
        <v>289</v>
      </c>
      <c r="FH7" s="426"/>
      <c r="FI7" s="408">
        <v>45762</v>
      </c>
      <c r="FJ7" s="505">
        <v>80</v>
      </c>
      <c r="FK7" s="506"/>
      <c r="FL7" s="508">
        <f>(FK7-FK9)/FJ9</f>
        <v>-0.66666666666666663</v>
      </c>
      <c r="FM7" s="506">
        <v>10110</v>
      </c>
      <c r="FN7" s="506" t="s">
        <v>392</v>
      </c>
      <c r="FO7" s="506" t="s">
        <v>393</v>
      </c>
      <c r="FP7" s="506" t="s">
        <v>394</v>
      </c>
      <c r="FR7" s="509" t="s">
        <v>288</v>
      </c>
      <c r="FS7" s="426">
        <v>0.34027777777777773</v>
      </c>
      <c r="FT7" s="408">
        <v>45232</v>
      </c>
      <c r="FU7" s="388">
        <v>62</v>
      </c>
      <c r="FV7" s="385">
        <v>0</v>
      </c>
      <c r="FW7" s="407">
        <f t="shared" si="4"/>
        <v>0</v>
      </c>
      <c r="FX7" s="385">
        <v>4438</v>
      </c>
      <c r="FY7" s="385"/>
      <c r="FZ7" s="385"/>
      <c r="GB7" s="415" t="s">
        <v>319</v>
      </c>
      <c r="GC7" s="478">
        <v>0.33541666666666664</v>
      </c>
      <c r="GD7" s="479">
        <v>45539</v>
      </c>
      <c r="GE7" s="480">
        <v>30</v>
      </c>
      <c r="GF7" s="480">
        <v>4972</v>
      </c>
      <c r="GG7" s="402">
        <f t="shared" si="0"/>
        <v>0.8</v>
      </c>
      <c r="GH7" s="452">
        <v>9046</v>
      </c>
      <c r="GI7" s="480" t="s">
        <v>395</v>
      </c>
      <c r="GJ7" s="480" t="s">
        <v>396</v>
      </c>
      <c r="GK7" s="385"/>
      <c r="GM7" s="419" t="s">
        <v>321</v>
      </c>
      <c r="GN7" s="455"/>
      <c r="GO7" s="408">
        <v>45531</v>
      </c>
      <c r="GP7" s="422">
        <v>60</v>
      </c>
      <c r="GQ7" s="423">
        <v>4769</v>
      </c>
      <c r="GR7" s="481">
        <f t="shared" si="14"/>
        <v>0.54054054054054057</v>
      </c>
      <c r="GS7" s="424">
        <v>6590</v>
      </c>
      <c r="GT7" s="424" t="s">
        <v>381</v>
      </c>
      <c r="GU7" s="385" t="s">
        <v>382</v>
      </c>
      <c r="GX7" s="419" t="s">
        <v>290</v>
      </c>
      <c r="GY7" s="510">
        <v>0.54305555555555551</v>
      </c>
      <c r="GZ7" s="483">
        <v>45559</v>
      </c>
      <c r="HA7" s="484">
        <v>10</v>
      </c>
      <c r="HB7" s="482"/>
      <c r="HC7" s="482">
        <f>(HB7-HB6)/HA6</f>
        <v>0</v>
      </c>
      <c r="HD7" s="486">
        <v>8599</v>
      </c>
      <c r="HE7" s="486" t="s">
        <v>322</v>
      </c>
      <c r="HF7" s="452" t="s">
        <v>323</v>
      </c>
      <c r="HI7" s="451">
        <v>0.52152777777777781</v>
      </c>
      <c r="HJ7" s="421">
        <v>46072</v>
      </c>
      <c r="HK7" s="474">
        <v>50</v>
      </c>
      <c r="HL7" s="452"/>
      <c r="HM7" s="511">
        <f t="shared" si="5"/>
        <v>0</v>
      </c>
      <c r="HN7" s="452">
        <v>9725</v>
      </c>
      <c r="HO7" s="452"/>
      <c r="HP7" s="452" t="s">
        <v>383</v>
      </c>
      <c r="HT7" s="385" t="s">
        <v>397</v>
      </c>
      <c r="HU7" s="426">
        <v>0.89722222222222225</v>
      </c>
      <c r="HV7" s="387">
        <v>45168</v>
      </c>
      <c r="HW7" s="388">
        <v>10</v>
      </c>
      <c r="HX7" s="385">
        <v>1300</v>
      </c>
      <c r="HY7" s="385"/>
      <c r="HZ7" s="385"/>
      <c r="ID7" s="409" t="s">
        <v>292</v>
      </c>
      <c r="IE7" s="512">
        <v>0.40277777777777779</v>
      </c>
      <c r="IF7" s="513">
        <v>46100</v>
      </c>
      <c r="IG7" s="493">
        <v>10</v>
      </c>
      <c r="IH7" s="469">
        <v>1015</v>
      </c>
      <c r="II7" s="469">
        <f>IH7-IH6</f>
        <v>7</v>
      </c>
      <c r="IJ7" s="469">
        <v>12919</v>
      </c>
      <c r="IK7" s="469" t="s">
        <v>149</v>
      </c>
      <c r="IL7" s="469" t="s">
        <v>398</v>
      </c>
      <c r="IO7" s="385"/>
      <c r="IP7" s="426">
        <v>0.3666666666666667</v>
      </c>
      <c r="IQ7" s="387">
        <v>45232</v>
      </c>
      <c r="IR7" s="388">
        <v>15</v>
      </c>
      <c r="IS7" s="385" t="s">
        <v>399</v>
      </c>
      <c r="IT7" s="407">
        <v>0</v>
      </c>
      <c r="IU7" s="429">
        <v>6866</v>
      </c>
      <c r="IV7" s="385"/>
      <c r="IX7" s="385" t="s">
        <v>327</v>
      </c>
      <c r="IY7" s="426">
        <v>0.50138888888888888</v>
      </c>
      <c r="IZ7" s="408">
        <v>45317</v>
      </c>
      <c r="JA7" s="388">
        <v>20</v>
      </c>
      <c r="JB7" s="385"/>
      <c r="JC7" s="385"/>
      <c r="JD7" s="385">
        <v>7910</v>
      </c>
      <c r="JE7" s="385"/>
      <c r="JF7" s="385" t="s">
        <v>371</v>
      </c>
      <c r="JK7" s="385"/>
      <c r="JL7" s="385"/>
      <c r="JM7" s="408">
        <v>45415</v>
      </c>
      <c r="JN7" s="385">
        <v>22</v>
      </c>
      <c r="JO7" s="385">
        <v>2803.6</v>
      </c>
      <c r="JP7" s="407">
        <v>0</v>
      </c>
      <c r="JQ7" s="440">
        <v>3484</v>
      </c>
      <c r="JR7" s="385"/>
      <c r="JS7" s="385"/>
      <c r="JT7" s="385"/>
      <c r="JW7" s="399" t="s">
        <v>293</v>
      </c>
      <c r="JX7" s="426">
        <v>0.47569444444444442</v>
      </c>
      <c r="JY7" s="408">
        <v>45255</v>
      </c>
      <c r="JZ7" s="388">
        <v>50</v>
      </c>
      <c r="KA7" s="385">
        <v>0</v>
      </c>
      <c r="KB7" s="456">
        <f>(KA7-KA6)/JZ6</f>
        <v>0</v>
      </c>
      <c r="KC7" s="385">
        <v>7097</v>
      </c>
      <c r="KD7" s="385"/>
      <c r="KE7" s="385"/>
      <c r="KO7" s="418"/>
      <c r="KP7" s="418"/>
      <c r="KQ7" s="387">
        <v>45133</v>
      </c>
      <c r="KR7" s="514">
        <v>40</v>
      </c>
      <c r="KS7" s="385">
        <v>3380.9</v>
      </c>
      <c r="KT7" s="407">
        <f t="shared" si="6"/>
        <v>0.70000000000000462</v>
      </c>
      <c r="KU7" s="385">
        <v>6434</v>
      </c>
      <c r="KW7" s="385"/>
      <c r="KX7" s="387"/>
      <c r="KY7" s="388"/>
      <c r="KZ7" s="385"/>
      <c r="LA7" s="407">
        <f t="shared" si="15"/>
        <v>0</v>
      </c>
      <c r="LB7" s="439"/>
      <c r="LD7" s="386" t="s">
        <v>366</v>
      </c>
      <c r="LE7" s="387">
        <v>45278</v>
      </c>
      <c r="LF7" s="388">
        <v>74</v>
      </c>
      <c r="LG7" s="385">
        <v>9611.6</v>
      </c>
      <c r="LH7" s="407">
        <f t="shared" si="16"/>
        <v>5.7000000000007274E-2</v>
      </c>
      <c r="LI7" s="465">
        <v>7317</v>
      </c>
      <c r="LL7" s="386"/>
      <c r="LM7" s="387"/>
      <c r="LN7" s="388"/>
      <c r="LO7" s="439"/>
      <c r="LS7" s="472"/>
      <c r="LT7" s="423"/>
      <c r="LU7" s="408">
        <v>0</v>
      </c>
      <c r="LV7" s="422">
        <v>19</v>
      </c>
      <c r="LW7" s="423">
        <v>0</v>
      </c>
      <c r="LX7" s="466">
        <f t="shared" si="7"/>
        <v>0</v>
      </c>
    </row>
    <row r="8" spans="2:337" ht="15.75" customHeight="1" x14ac:dyDescent="0.25">
      <c r="B8" s="467" t="s">
        <v>369</v>
      </c>
      <c r="C8" s="467"/>
      <c r="D8" s="421">
        <v>45897</v>
      </c>
      <c r="E8" s="452">
        <v>49</v>
      </c>
      <c r="F8" s="452"/>
      <c r="G8" s="452">
        <v>10298</v>
      </c>
      <c r="H8" s="452" t="s">
        <v>304</v>
      </c>
      <c r="K8" s="354"/>
      <c r="L8" s="354"/>
      <c r="M8" s="354"/>
      <c r="N8" s="354"/>
      <c r="O8" s="354"/>
      <c r="Q8" s="385"/>
      <c r="R8" s="430">
        <v>0.44791666666666669</v>
      </c>
      <c r="S8" s="387">
        <v>45754</v>
      </c>
      <c r="T8" s="388">
        <v>37</v>
      </c>
      <c r="U8" s="385">
        <v>386</v>
      </c>
      <c r="V8" s="385"/>
      <c r="W8" s="440">
        <v>12113</v>
      </c>
      <c r="X8" s="440" t="s">
        <v>308</v>
      </c>
      <c r="Y8" s="440" t="s">
        <v>371</v>
      </c>
      <c r="Z8" s="385"/>
      <c r="AB8" s="442" t="s">
        <v>283</v>
      </c>
      <c r="AC8" s="426">
        <v>0.50555555555555554</v>
      </c>
      <c r="AD8" s="408">
        <v>46057</v>
      </c>
      <c r="AE8" s="385">
        <v>98</v>
      </c>
      <c r="AF8" s="471">
        <v>4757</v>
      </c>
      <c r="AG8" s="389">
        <f t="shared" si="8"/>
        <v>0</v>
      </c>
      <c r="AH8" s="385">
        <v>10425</v>
      </c>
      <c r="AI8" s="385"/>
      <c r="AJ8" s="385" t="s">
        <v>383</v>
      </c>
      <c r="AK8" s="470"/>
      <c r="AM8" s="442" t="s">
        <v>284</v>
      </c>
      <c r="AN8" s="491">
        <v>0.31944444444444442</v>
      </c>
      <c r="AO8" s="513">
        <v>46097</v>
      </c>
      <c r="AP8" s="469">
        <v>103</v>
      </c>
      <c r="AQ8" s="515">
        <v>7121</v>
      </c>
      <c r="AR8" s="516">
        <f>AQ8-AQ7</f>
        <v>0</v>
      </c>
      <c r="AS8" s="469">
        <v>11781</v>
      </c>
      <c r="AT8" s="469" t="s">
        <v>168</v>
      </c>
      <c r="AU8" s="469" t="s">
        <v>338</v>
      </c>
      <c r="AV8" s="517"/>
      <c r="AY8" s="451">
        <v>0.66041666666666665</v>
      </c>
      <c r="AZ8" s="421">
        <v>45953</v>
      </c>
      <c r="BA8" s="518">
        <v>365</v>
      </c>
      <c r="BB8" s="511">
        <v>3464</v>
      </c>
      <c r="BC8" s="511">
        <f t="shared" si="1"/>
        <v>18</v>
      </c>
      <c r="BD8" s="452"/>
      <c r="BE8" s="452" t="s">
        <v>308</v>
      </c>
      <c r="BF8" s="452" t="s">
        <v>389</v>
      </c>
      <c r="BG8" s="519"/>
      <c r="BH8" s="355"/>
      <c r="BI8" s="355"/>
      <c r="BK8" s="385"/>
      <c r="BL8" s="385"/>
      <c r="BM8" s="387">
        <v>45043</v>
      </c>
      <c r="BN8" s="388">
        <v>56</v>
      </c>
      <c r="BO8" s="385">
        <v>7850</v>
      </c>
      <c r="BP8" s="407">
        <f>(BO8-BO7)/BN7</f>
        <v>7.8260869565217397E-2</v>
      </c>
      <c r="BQ8" s="440"/>
      <c r="BR8" s="385"/>
      <c r="BS8" s="385"/>
      <c r="BT8" s="385"/>
      <c r="BU8" s="355"/>
      <c r="BV8" s="472"/>
      <c r="BW8" s="439"/>
      <c r="BX8" s="446">
        <v>45006</v>
      </c>
      <c r="BY8" s="422">
        <v>98</v>
      </c>
      <c r="BZ8" s="423">
        <v>8614</v>
      </c>
      <c r="CA8" s="447">
        <f>(BZ8-BZ7)/BY7</f>
        <v>0.16899999999999638</v>
      </c>
      <c r="CB8" s="385"/>
      <c r="CC8" s="385"/>
      <c r="CD8" s="385"/>
      <c r="CG8" s="385"/>
      <c r="CH8" s="385" t="s">
        <v>308</v>
      </c>
      <c r="CI8" s="387">
        <v>45119</v>
      </c>
      <c r="CJ8" s="388">
        <v>170</v>
      </c>
      <c r="CK8" s="385">
        <v>84</v>
      </c>
      <c r="CL8" s="389">
        <f t="shared" si="17"/>
        <v>0.27659574468085107</v>
      </c>
      <c r="CM8" s="390">
        <v>6319</v>
      </c>
      <c r="CN8" s="385"/>
      <c r="CO8" s="385"/>
      <c r="CR8" s="399" t="s">
        <v>345</v>
      </c>
      <c r="CS8" s="426">
        <v>0.56874999999999998</v>
      </c>
      <c r="CT8" s="387">
        <v>45372</v>
      </c>
      <c r="CU8" s="388">
        <v>226</v>
      </c>
      <c r="CV8" s="385">
        <v>55296</v>
      </c>
      <c r="CW8" s="429"/>
      <c r="CX8" s="385">
        <v>5183</v>
      </c>
      <c r="CY8" s="385" t="s">
        <v>346</v>
      </c>
      <c r="CZ8" s="385" t="s">
        <v>375</v>
      </c>
      <c r="DB8" s="348" t="s">
        <v>400</v>
      </c>
      <c r="DC8" s="399" t="s">
        <v>348</v>
      </c>
      <c r="DD8" s="426">
        <v>0.54027777777777775</v>
      </c>
      <c r="DE8" s="387">
        <v>45366</v>
      </c>
      <c r="DF8" s="388">
        <v>45</v>
      </c>
      <c r="DG8" s="385">
        <v>0</v>
      </c>
      <c r="DH8" s="449">
        <f t="shared" si="11"/>
        <v>0</v>
      </c>
      <c r="DI8" s="385">
        <v>5100</v>
      </c>
      <c r="DJ8" s="385"/>
      <c r="DK8" s="440"/>
      <c r="DL8" s="385"/>
      <c r="DM8" s="355"/>
      <c r="DN8" s="399" t="s">
        <v>60</v>
      </c>
      <c r="DO8" s="426">
        <v>0.35555555555555557</v>
      </c>
      <c r="DP8" s="408">
        <v>45430</v>
      </c>
      <c r="DQ8" s="385">
        <v>340</v>
      </c>
      <c r="DR8" s="385">
        <v>142</v>
      </c>
      <c r="DS8" s="402">
        <f t="shared" si="2"/>
        <v>0.16088328075709779</v>
      </c>
      <c r="DT8" s="385">
        <v>8226</v>
      </c>
      <c r="DU8" s="402" t="s">
        <v>308</v>
      </c>
      <c r="DV8" s="385" t="s">
        <v>390</v>
      </c>
      <c r="DX8" s="399" t="s">
        <v>286</v>
      </c>
      <c r="DY8" s="416"/>
      <c r="DZ8" s="417">
        <v>45526</v>
      </c>
      <c r="EA8" s="418">
        <v>310</v>
      </c>
      <c r="EB8" s="418">
        <v>106.1</v>
      </c>
      <c r="EC8" s="407">
        <f t="shared" si="3"/>
        <v>0.18350515463917522</v>
      </c>
      <c r="ED8" s="385">
        <v>6560</v>
      </c>
      <c r="EE8" s="418" t="s">
        <v>312</v>
      </c>
      <c r="EF8" s="418" t="s">
        <v>313</v>
      </c>
      <c r="EG8" s="385"/>
      <c r="EH8" s="355"/>
      <c r="EI8" s="355"/>
      <c r="EJ8" s="385"/>
      <c r="EK8" s="426">
        <v>0.55902777777777779</v>
      </c>
      <c r="EL8" s="408">
        <v>45688</v>
      </c>
      <c r="EM8" s="388">
        <v>69</v>
      </c>
      <c r="EN8" s="385">
        <v>67.8</v>
      </c>
      <c r="EO8" s="427">
        <f t="shared" si="12"/>
        <v>20.799999999999997</v>
      </c>
      <c r="EP8" s="385">
        <v>9010</v>
      </c>
      <c r="EQ8" s="385" t="s">
        <v>351</v>
      </c>
      <c r="ER8" s="385" t="s">
        <v>401</v>
      </c>
      <c r="ES8" s="520" t="s">
        <v>402</v>
      </c>
      <c r="ET8" s="355"/>
      <c r="EW8" s="385"/>
      <c r="EX8" s="385"/>
      <c r="EY8" s="387">
        <v>44951</v>
      </c>
      <c r="EZ8" s="388">
        <v>94</v>
      </c>
      <c r="FA8" s="385">
        <v>4843</v>
      </c>
      <c r="FB8" s="407" t="e">
        <f>(FA8-FA7)/EZ7</f>
        <v>#VALUE!</v>
      </c>
      <c r="FC8" s="385"/>
      <c r="FD8" s="385"/>
      <c r="FE8" s="385"/>
      <c r="FH8" s="426">
        <v>0.73333333333333328</v>
      </c>
      <c r="FI8" s="408">
        <v>45764</v>
      </c>
      <c r="FJ8" s="388">
        <v>54</v>
      </c>
      <c r="FK8" s="385">
        <v>54</v>
      </c>
      <c r="FL8" s="407">
        <f>(FK8-FK6)/FJ6</f>
        <v>0.41166666666666668</v>
      </c>
      <c r="FM8" s="385">
        <v>10125</v>
      </c>
      <c r="FN8" s="385" t="s">
        <v>108</v>
      </c>
      <c r="FO8" s="385" t="s">
        <v>354</v>
      </c>
      <c r="FP8" s="385"/>
      <c r="FR8" s="509" t="s">
        <v>288</v>
      </c>
      <c r="FS8" s="426">
        <v>0.375</v>
      </c>
      <c r="FT8" s="408">
        <v>45234</v>
      </c>
      <c r="FU8" s="388">
        <v>94</v>
      </c>
      <c r="FV8" s="385">
        <v>17853</v>
      </c>
      <c r="FW8" s="407">
        <f t="shared" si="4"/>
        <v>287.95161290322579</v>
      </c>
      <c r="FX8" s="385">
        <v>6894</v>
      </c>
      <c r="FY8" s="385"/>
      <c r="FZ8" s="385"/>
      <c r="GB8" s="415" t="s">
        <v>319</v>
      </c>
      <c r="GC8" s="416">
        <v>0.35972222222222222</v>
      </c>
      <c r="GD8" s="417">
        <v>45549</v>
      </c>
      <c r="GE8" s="418">
        <v>53</v>
      </c>
      <c r="GF8" s="418">
        <v>4997</v>
      </c>
      <c r="GG8" s="407">
        <f t="shared" si="0"/>
        <v>0.83333333333333337</v>
      </c>
      <c r="GH8" s="385">
        <v>9072</v>
      </c>
      <c r="GI8" s="418"/>
      <c r="GJ8" s="418" t="s">
        <v>396</v>
      </c>
      <c r="GK8" s="385"/>
      <c r="GM8" s="419" t="s">
        <v>321</v>
      </c>
      <c r="GN8" s="455">
        <v>0.63124999999999998</v>
      </c>
      <c r="GO8" s="408">
        <v>45537</v>
      </c>
      <c r="GP8" s="422">
        <v>80</v>
      </c>
      <c r="GQ8" s="423">
        <v>4797</v>
      </c>
      <c r="GR8" s="481">
        <f t="shared" si="14"/>
        <v>0.46666666666666667</v>
      </c>
      <c r="GS8" s="424">
        <v>9036</v>
      </c>
      <c r="GT8" s="424" t="s">
        <v>381</v>
      </c>
      <c r="GU8" s="385" t="s">
        <v>382</v>
      </c>
      <c r="GX8" s="419" t="s">
        <v>290</v>
      </c>
      <c r="GY8" s="521">
        <v>0.49861111111111112</v>
      </c>
      <c r="GZ8" s="522">
        <v>45568</v>
      </c>
      <c r="HA8" s="523">
        <v>40</v>
      </c>
      <c r="HB8" s="524">
        <v>2774</v>
      </c>
      <c r="HC8" s="524">
        <f>(HB8-HB7)/HA7</f>
        <v>277.39999999999998</v>
      </c>
      <c r="HD8" s="525">
        <v>11112</v>
      </c>
      <c r="HE8" s="525" t="s">
        <v>403</v>
      </c>
      <c r="HF8" s="469" t="s">
        <v>404</v>
      </c>
      <c r="HH8" s="409" t="s">
        <v>291</v>
      </c>
      <c r="HI8" s="426"/>
      <c r="HJ8" s="408">
        <v>46076</v>
      </c>
      <c r="HK8" s="388">
        <v>24</v>
      </c>
      <c r="HL8" s="385"/>
      <c r="HM8" s="427">
        <f t="shared" si="5"/>
        <v>0</v>
      </c>
      <c r="HN8" s="385">
        <v>13301</v>
      </c>
      <c r="HO8" s="385"/>
      <c r="HP8" s="385" t="s">
        <v>383</v>
      </c>
      <c r="HT8" s="385"/>
      <c r="HU8" s="426">
        <v>0.3923611111111111</v>
      </c>
      <c r="HV8" s="387">
        <v>45175</v>
      </c>
      <c r="HW8" s="388">
        <v>12</v>
      </c>
      <c r="HX8" s="385">
        <v>1388.1</v>
      </c>
      <c r="HY8" s="385"/>
      <c r="HZ8" s="385">
        <v>4925</v>
      </c>
      <c r="IE8" s="512">
        <v>0.46041666666666664</v>
      </c>
      <c r="IF8" s="513">
        <v>46101</v>
      </c>
      <c r="IG8" s="493">
        <v>13</v>
      </c>
      <c r="IH8" s="469">
        <v>1021</v>
      </c>
      <c r="II8" s="469">
        <f>IH8-IH7</f>
        <v>6</v>
      </c>
      <c r="IJ8" s="469">
        <v>12919</v>
      </c>
      <c r="IK8" s="469"/>
      <c r="IL8" s="469" t="s">
        <v>383</v>
      </c>
      <c r="IO8" s="386" t="s">
        <v>326</v>
      </c>
      <c r="IP8" s="426">
        <v>0.60277777777777775</v>
      </c>
      <c r="IQ8" s="408">
        <v>45236</v>
      </c>
      <c r="IR8" s="385">
        <v>49</v>
      </c>
      <c r="IS8" s="385">
        <v>0</v>
      </c>
      <c r="IT8" s="385">
        <v>0</v>
      </c>
      <c r="IU8" s="385">
        <v>6910</v>
      </c>
      <c r="IV8" s="385"/>
      <c r="IX8" s="386" t="s">
        <v>327</v>
      </c>
      <c r="IY8" s="426">
        <v>0.57500000000000007</v>
      </c>
      <c r="IZ8" s="408">
        <v>45342</v>
      </c>
      <c r="JA8" s="388">
        <v>17</v>
      </c>
      <c r="JB8" s="385">
        <v>1519</v>
      </c>
      <c r="JC8" s="385"/>
      <c r="JD8" s="385"/>
      <c r="JE8" s="385"/>
      <c r="JF8" s="385"/>
      <c r="JK8" s="526" t="s">
        <v>328</v>
      </c>
      <c r="JL8" s="426">
        <v>0.51249999999999996</v>
      </c>
      <c r="JM8" s="408">
        <v>45524</v>
      </c>
      <c r="JN8" s="385">
        <v>26</v>
      </c>
      <c r="JO8" s="385"/>
      <c r="JP8" s="407">
        <v>0</v>
      </c>
      <c r="JQ8" s="440">
        <v>6297</v>
      </c>
      <c r="JR8" s="385"/>
      <c r="JS8" s="385"/>
      <c r="JT8" s="385"/>
      <c r="JW8" s="399" t="s">
        <v>293</v>
      </c>
      <c r="JX8" s="426">
        <v>0.71180555555555547</v>
      </c>
      <c r="JY8" s="408">
        <v>45279</v>
      </c>
      <c r="JZ8" s="385">
        <v>18</v>
      </c>
      <c r="KA8" s="385">
        <v>0</v>
      </c>
      <c r="KB8" s="456">
        <f>(KA8-KA7)/JZ7</f>
        <v>0</v>
      </c>
      <c r="KC8" s="385">
        <v>4575</v>
      </c>
      <c r="KD8" s="385"/>
      <c r="KE8" s="385"/>
      <c r="KO8" s="385" t="s">
        <v>405</v>
      </c>
      <c r="KP8" s="426">
        <v>0.33333333333333331</v>
      </c>
      <c r="KQ8" s="408">
        <v>45169</v>
      </c>
      <c r="KR8" s="385">
        <v>66</v>
      </c>
      <c r="KS8" s="385"/>
      <c r="KT8" s="407">
        <f t="shared" si="6"/>
        <v>-84.522500000000008</v>
      </c>
      <c r="KU8" s="385">
        <v>6721</v>
      </c>
      <c r="KW8" s="385"/>
      <c r="KX8" s="387"/>
      <c r="KY8" s="388"/>
      <c r="KZ8" s="385"/>
      <c r="LA8" s="407" t="e">
        <f t="shared" si="15"/>
        <v>#DIV/0!</v>
      </c>
      <c r="LB8" s="439"/>
      <c r="LD8" s="386" t="s">
        <v>366</v>
      </c>
      <c r="LE8" s="463">
        <v>45302</v>
      </c>
      <c r="LF8" s="464">
        <v>56</v>
      </c>
      <c r="LG8" s="502">
        <v>9666.7999999999993</v>
      </c>
      <c r="LH8" s="503">
        <f t="shared" si="16"/>
        <v>0.74594594594593122</v>
      </c>
      <c r="LI8" s="465">
        <v>7693</v>
      </c>
      <c r="LS8" s="472"/>
      <c r="LT8" s="423"/>
      <c r="LU8" s="408">
        <v>0</v>
      </c>
      <c r="LV8" s="422">
        <v>10</v>
      </c>
      <c r="LW8" s="423">
        <v>0</v>
      </c>
      <c r="LX8" s="466">
        <f t="shared" si="7"/>
        <v>0</v>
      </c>
    </row>
    <row r="9" spans="2:337" ht="15.75" customHeight="1" x14ac:dyDescent="0.25">
      <c r="B9" s="467" t="s">
        <v>369</v>
      </c>
      <c r="C9" s="467"/>
      <c r="D9" s="421">
        <v>45901</v>
      </c>
      <c r="E9" s="452">
        <v>41</v>
      </c>
      <c r="F9" s="452"/>
      <c r="G9" s="452">
        <v>11418</v>
      </c>
      <c r="H9" s="452" t="s">
        <v>304</v>
      </c>
      <c r="K9" s="354"/>
      <c r="L9" s="354"/>
      <c r="M9" s="354"/>
      <c r="N9" s="354"/>
      <c r="O9" s="354"/>
      <c r="Q9" s="385"/>
      <c r="R9" s="426">
        <v>0.50555555555555554</v>
      </c>
      <c r="S9" s="387">
        <v>45756</v>
      </c>
      <c r="T9" s="388">
        <v>33</v>
      </c>
      <c r="U9" s="385">
        <v>401</v>
      </c>
      <c r="V9" s="407">
        <f>(U9-U8)/T8</f>
        <v>0.40540540540540543</v>
      </c>
      <c r="W9" s="440">
        <v>12142</v>
      </c>
      <c r="X9" s="440" t="s">
        <v>308</v>
      </c>
      <c r="Y9" s="440" t="s">
        <v>371</v>
      </c>
      <c r="Z9" s="385"/>
      <c r="AB9" s="354"/>
      <c r="AC9" s="426">
        <v>0.76944444444444449</v>
      </c>
      <c r="AD9" s="408">
        <v>46059</v>
      </c>
      <c r="AE9" s="385">
        <v>77</v>
      </c>
      <c r="AF9" s="471">
        <v>4757</v>
      </c>
      <c r="AG9" s="389">
        <f t="shared" si="8"/>
        <v>0</v>
      </c>
      <c r="AH9" s="385">
        <v>10510</v>
      </c>
      <c r="AI9" s="385" t="s">
        <v>406</v>
      </c>
      <c r="AJ9" s="385" t="s">
        <v>383</v>
      </c>
      <c r="AK9" s="470"/>
      <c r="AM9" s="354"/>
      <c r="AN9" s="491"/>
      <c r="AO9" s="513">
        <v>46099</v>
      </c>
      <c r="AP9" s="469">
        <v>73</v>
      </c>
      <c r="AQ9" s="469">
        <v>7156</v>
      </c>
      <c r="AR9" s="516">
        <f t="shared" ref="AR9:AR10" si="18">AQ9-AQ8</f>
        <v>35</v>
      </c>
      <c r="AS9" s="469">
        <v>12754</v>
      </c>
      <c r="AT9" s="469" t="s">
        <v>168</v>
      </c>
      <c r="AU9" s="469" t="s">
        <v>338</v>
      </c>
      <c r="AV9" s="517"/>
      <c r="AX9" s="442" t="s">
        <v>339</v>
      </c>
      <c r="AY9" s="426">
        <v>0.42986111111111114</v>
      </c>
      <c r="AZ9" s="408">
        <v>45957</v>
      </c>
      <c r="BA9" s="444">
        <v>305</v>
      </c>
      <c r="BB9" s="427">
        <v>3485</v>
      </c>
      <c r="BC9" s="427">
        <f t="shared" si="1"/>
        <v>21</v>
      </c>
      <c r="BD9" s="385">
        <v>11598</v>
      </c>
      <c r="BE9" s="385" t="s">
        <v>308</v>
      </c>
      <c r="BF9" s="385" t="s">
        <v>389</v>
      </c>
      <c r="BG9" s="470"/>
      <c r="BH9" s="355"/>
      <c r="BI9" s="355"/>
      <c r="BK9" s="385"/>
      <c r="BL9" s="385"/>
      <c r="BM9" s="387">
        <v>45045</v>
      </c>
      <c r="BN9" s="388">
        <v>91</v>
      </c>
      <c r="BO9" s="385">
        <v>7861</v>
      </c>
      <c r="BP9" s="407">
        <f t="shared" si="9"/>
        <v>0.19642857142857142</v>
      </c>
      <c r="BQ9" s="440"/>
      <c r="BR9" s="385"/>
      <c r="BS9" s="385"/>
      <c r="BT9" s="385"/>
      <c r="BU9" s="355"/>
      <c r="BV9" s="472"/>
      <c r="BW9" s="439"/>
      <c r="BX9" s="446">
        <v>45008</v>
      </c>
      <c r="BY9" s="422">
        <v>67</v>
      </c>
      <c r="BZ9" s="423">
        <v>8629</v>
      </c>
      <c r="CA9" s="447">
        <f t="shared" si="10"/>
        <v>0.15306122448979592</v>
      </c>
      <c r="CB9" s="385"/>
      <c r="CC9" s="385"/>
      <c r="CD9" s="385"/>
      <c r="CG9" s="385"/>
      <c r="CH9" s="451">
        <v>0.65</v>
      </c>
      <c r="CI9" s="473">
        <v>45121</v>
      </c>
      <c r="CJ9" s="474">
        <v>211</v>
      </c>
      <c r="CK9" s="452">
        <v>104</v>
      </c>
      <c r="CL9" s="527">
        <f t="shared" si="17"/>
        <v>0.11764705882352941</v>
      </c>
      <c r="CM9" s="528">
        <v>6342</v>
      </c>
      <c r="CN9" s="452"/>
      <c r="CO9" s="452"/>
      <c r="CP9" s="453"/>
      <c r="CQ9" s="453"/>
      <c r="CR9" s="399" t="s">
        <v>345</v>
      </c>
      <c r="CS9" s="426">
        <v>0.52777777777777779</v>
      </c>
      <c r="CT9" s="387">
        <v>45376</v>
      </c>
      <c r="CU9" s="388">
        <v>174</v>
      </c>
      <c r="CV9" s="385">
        <v>5550</v>
      </c>
      <c r="CW9" s="391"/>
      <c r="CX9" s="385">
        <v>7783</v>
      </c>
      <c r="CY9" s="385" t="s">
        <v>346</v>
      </c>
      <c r="CZ9" s="385" t="s">
        <v>375</v>
      </c>
      <c r="DC9" s="399" t="s">
        <v>348</v>
      </c>
      <c r="DD9" s="426">
        <v>0.66805555555555551</v>
      </c>
      <c r="DE9" s="387">
        <v>45371</v>
      </c>
      <c r="DF9" s="388">
        <v>28</v>
      </c>
      <c r="DG9" s="385">
        <v>0</v>
      </c>
      <c r="DH9" s="449">
        <f t="shared" si="11"/>
        <v>0</v>
      </c>
      <c r="DI9" s="385">
        <v>5174</v>
      </c>
      <c r="DJ9" s="385"/>
      <c r="DK9" s="440"/>
      <c r="DL9" s="385"/>
      <c r="DM9" s="355"/>
      <c r="DN9" s="355"/>
      <c r="DO9" s="451">
        <v>0.62013888888888891</v>
      </c>
      <c r="DP9" s="421">
        <v>45434</v>
      </c>
      <c r="DQ9" s="452">
        <v>320</v>
      </c>
      <c r="DR9" s="452">
        <v>166</v>
      </c>
      <c r="DS9" s="402">
        <f t="shared" si="2"/>
        <v>7.0588235294117646E-2</v>
      </c>
      <c r="DT9" s="452">
        <v>4104</v>
      </c>
      <c r="DU9" s="402" t="s">
        <v>308</v>
      </c>
      <c r="DV9" s="452" t="s">
        <v>390</v>
      </c>
      <c r="DW9" s="453"/>
      <c r="DX9" s="399" t="s">
        <v>286</v>
      </c>
      <c r="DY9" s="478">
        <v>0.60555555555555551</v>
      </c>
      <c r="DZ9" s="479">
        <v>45532</v>
      </c>
      <c r="EA9" s="480">
        <v>327</v>
      </c>
      <c r="EB9" s="480">
        <v>137.80000000000001</v>
      </c>
      <c r="EC9" s="402">
        <f t="shared" si="3"/>
        <v>0.10225806451612909</v>
      </c>
      <c r="ED9" s="452">
        <v>9004</v>
      </c>
      <c r="EE9" s="480" t="s">
        <v>312</v>
      </c>
      <c r="EF9" s="480" t="s">
        <v>313</v>
      </c>
      <c r="EG9" s="385"/>
      <c r="EH9" s="355"/>
      <c r="EI9" s="355"/>
      <c r="EJ9" s="409" t="s">
        <v>376</v>
      </c>
      <c r="EK9" s="426">
        <v>0.4201388888888889</v>
      </c>
      <c r="EL9" s="408">
        <v>45696</v>
      </c>
      <c r="EM9" s="388">
        <v>69</v>
      </c>
      <c r="EN9" s="385">
        <v>92.6</v>
      </c>
      <c r="EO9" s="427">
        <f t="shared" si="12"/>
        <v>24.799999999999997</v>
      </c>
      <c r="EP9" s="385">
        <v>9122</v>
      </c>
      <c r="EQ9" s="385" t="s">
        <v>351</v>
      </c>
      <c r="ER9" s="385" t="s">
        <v>401</v>
      </c>
      <c r="ES9" s="385"/>
      <c r="ET9" s="355"/>
      <c r="EW9" s="385"/>
      <c r="EX9" s="385"/>
      <c r="EY9" s="387">
        <v>44953</v>
      </c>
      <c r="EZ9" s="388">
        <v>97</v>
      </c>
      <c r="FA9" s="385">
        <v>4857</v>
      </c>
      <c r="FB9" s="407">
        <f t="shared" si="13"/>
        <v>0.14893617021276595</v>
      </c>
      <c r="FC9" s="385"/>
      <c r="FD9" s="385"/>
      <c r="FE9" s="385"/>
      <c r="FH9" s="426">
        <v>0.56666666666666665</v>
      </c>
      <c r="FI9" s="408">
        <v>45765</v>
      </c>
      <c r="FJ9" s="388">
        <v>84</v>
      </c>
      <c r="FK9" s="385">
        <v>56</v>
      </c>
      <c r="FL9" s="407">
        <f t="shared" ref="FL9:FL23" si="19">(FK9-FK8)/FJ8</f>
        <v>3.7037037037037035E-2</v>
      </c>
      <c r="FM9" s="385">
        <v>9506</v>
      </c>
      <c r="FN9" s="385" t="s">
        <v>407</v>
      </c>
      <c r="FO9" s="385" t="s">
        <v>354</v>
      </c>
      <c r="FP9" s="385"/>
      <c r="FR9" s="509" t="s">
        <v>288</v>
      </c>
      <c r="FS9" s="426">
        <v>0.57152777777777775</v>
      </c>
      <c r="FT9" s="408">
        <v>45238</v>
      </c>
      <c r="FU9" s="388">
        <v>74</v>
      </c>
      <c r="FV9" s="385">
        <v>18022</v>
      </c>
      <c r="FW9" s="407">
        <f t="shared" si="4"/>
        <v>1.7978723404255319</v>
      </c>
      <c r="FX9" s="385">
        <v>6935</v>
      </c>
      <c r="FY9" s="385"/>
      <c r="FZ9" s="385"/>
      <c r="GB9" s="470"/>
      <c r="GC9" s="478">
        <v>0.34097222222222223</v>
      </c>
      <c r="GD9" s="479">
        <v>45555</v>
      </c>
      <c r="GE9" s="480">
        <v>31</v>
      </c>
      <c r="GF9" s="480">
        <v>3909</v>
      </c>
      <c r="GG9" s="402">
        <f t="shared" si="0"/>
        <v>-20.528301886792452</v>
      </c>
      <c r="GH9" s="452">
        <v>9095</v>
      </c>
      <c r="GI9" s="480"/>
      <c r="GJ9" s="480" t="s">
        <v>396</v>
      </c>
      <c r="GK9" s="385"/>
      <c r="GM9" s="419" t="s">
        <v>321</v>
      </c>
      <c r="GN9" s="420">
        <v>0.36527777777777776</v>
      </c>
      <c r="GO9" s="421">
        <v>45542</v>
      </c>
      <c r="GP9" s="422">
        <v>70</v>
      </c>
      <c r="GQ9" s="423">
        <v>4818</v>
      </c>
      <c r="GR9" s="481">
        <f t="shared" si="14"/>
        <v>0.26250000000000001</v>
      </c>
      <c r="GS9" s="424">
        <v>8716</v>
      </c>
      <c r="GT9" s="424" t="s">
        <v>381</v>
      </c>
      <c r="GU9" s="385" t="s">
        <v>408</v>
      </c>
      <c r="GX9" s="419" t="s">
        <v>290</v>
      </c>
      <c r="GY9" s="529">
        <v>0.58333333333333337</v>
      </c>
      <c r="GZ9" s="530">
        <v>45604</v>
      </c>
      <c r="HA9" s="531">
        <v>64</v>
      </c>
      <c r="HB9" s="531">
        <v>2802.2</v>
      </c>
      <c r="HC9" s="532">
        <f>(HB9-GQ12)/GP12</f>
        <v>-136.32000000000002</v>
      </c>
      <c r="HD9" s="531">
        <v>7298</v>
      </c>
      <c r="HE9" s="531" t="str">
        <f>+GT12</f>
        <v xml:space="preserve">Villela </v>
      </c>
      <c r="HF9" s="531" t="str">
        <f>+GU12</f>
        <v>3 puertas</v>
      </c>
      <c r="HI9" s="426">
        <v>0.79166666666666663</v>
      </c>
      <c r="HJ9" s="408">
        <v>46079</v>
      </c>
      <c r="HK9" s="388">
        <v>29</v>
      </c>
      <c r="HL9" s="385"/>
      <c r="HM9" s="427">
        <f t="shared" si="5"/>
        <v>0</v>
      </c>
      <c r="HN9" s="385">
        <v>13324</v>
      </c>
      <c r="HO9" s="385"/>
      <c r="HP9" s="385" t="s">
        <v>383</v>
      </c>
      <c r="HT9" s="385"/>
      <c r="HU9" s="426">
        <v>0.39444444444444443</v>
      </c>
      <c r="HV9" s="387">
        <v>45175</v>
      </c>
      <c r="HW9" s="388">
        <v>106</v>
      </c>
      <c r="HX9" s="385" t="s">
        <v>409</v>
      </c>
      <c r="HY9" s="385"/>
      <c r="HZ9" s="385">
        <v>4926</v>
      </c>
      <c r="IO9" s="385"/>
      <c r="IP9" s="426">
        <v>0.66388888888888886</v>
      </c>
      <c r="IQ9" s="408">
        <v>45239</v>
      </c>
      <c r="IR9" s="385">
        <v>21</v>
      </c>
      <c r="IS9" s="385">
        <v>0</v>
      </c>
      <c r="IT9" s="385">
        <v>0</v>
      </c>
      <c r="IU9" s="385">
        <v>6952</v>
      </c>
      <c r="IV9" s="385"/>
      <c r="IX9" s="452" t="s">
        <v>410</v>
      </c>
      <c r="IY9" s="451">
        <v>0.44444444444444442</v>
      </c>
      <c r="IZ9" s="408">
        <v>45398</v>
      </c>
      <c r="JA9" s="474">
        <v>4</v>
      </c>
      <c r="JB9" s="452">
        <v>1521</v>
      </c>
      <c r="JC9" s="452"/>
      <c r="JD9" s="452">
        <v>5296</v>
      </c>
      <c r="JE9" s="452"/>
      <c r="JF9" s="452"/>
      <c r="JG9" s="453"/>
      <c r="JH9" s="453"/>
      <c r="JI9" s="453"/>
      <c r="JJ9" s="453"/>
      <c r="JK9" s="533"/>
      <c r="JL9" s="534">
        <v>0.4861111111111111</v>
      </c>
      <c r="JM9" s="535">
        <v>45608</v>
      </c>
      <c r="JN9" s="533">
        <v>34</v>
      </c>
      <c r="JO9" s="533">
        <v>0</v>
      </c>
      <c r="JP9" s="536">
        <v>0</v>
      </c>
      <c r="JQ9" s="537">
        <v>7885</v>
      </c>
      <c r="JR9" s="385"/>
      <c r="JS9" s="385"/>
      <c r="JT9" s="385"/>
      <c r="JX9" s="426">
        <v>0.375</v>
      </c>
      <c r="JY9" s="408">
        <v>45282</v>
      </c>
      <c r="JZ9" s="385">
        <v>43</v>
      </c>
      <c r="KA9" s="385">
        <v>0</v>
      </c>
      <c r="KB9" s="385"/>
      <c r="KC9" s="385">
        <v>4597</v>
      </c>
      <c r="KD9" s="385"/>
      <c r="KE9" s="385"/>
      <c r="KO9" s="385"/>
      <c r="KP9" s="426">
        <v>0.46180555555555558</v>
      </c>
      <c r="KQ9" s="408">
        <v>45178</v>
      </c>
      <c r="KR9" s="385">
        <v>126</v>
      </c>
      <c r="KS9" s="385">
        <v>3441.3</v>
      </c>
      <c r="KT9" s="407">
        <f t="shared" si="6"/>
        <v>52.140909090909091</v>
      </c>
      <c r="KU9" s="385">
        <v>5963</v>
      </c>
      <c r="KW9" s="385"/>
      <c r="KX9" s="473"/>
      <c r="KY9" s="474"/>
      <c r="KZ9" s="452"/>
      <c r="LA9" s="402" t="e">
        <f t="shared" si="15"/>
        <v>#DIV/0!</v>
      </c>
      <c r="LB9" s="538"/>
      <c r="LD9" s="385"/>
      <c r="LE9" s="473"/>
      <c r="LF9" s="474"/>
      <c r="LG9" s="452"/>
      <c r="LH9" s="402">
        <f t="shared" si="16"/>
        <v>-172.62142857142857</v>
      </c>
      <c r="LI9" s="538"/>
      <c r="LS9" s="472"/>
      <c r="LT9" s="423"/>
      <c r="LU9" s="408">
        <v>0</v>
      </c>
      <c r="LV9" s="422">
        <v>10</v>
      </c>
      <c r="LW9" s="423">
        <v>0</v>
      </c>
      <c r="LX9" s="466">
        <f t="shared" si="7"/>
        <v>0</v>
      </c>
    </row>
    <row r="10" spans="2:337" ht="15.75" customHeight="1" thickBot="1" x14ac:dyDescent="0.3">
      <c r="B10" s="467" t="s">
        <v>369</v>
      </c>
      <c r="C10" s="467"/>
      <c r="D10" s="421">
        <v>45904</v>
      </c>
      <c r="E10" s="452">
        <v>49</v>
      </c>
      <c r="F10" s="452"/>
      <c r="G10" s="452">
        <v>11444</v>
      </c>
      <c r="H10" s="452" t="s">
        <v>304</v>
      </c>
      <c r="K10" s="354"/>
      <c r="L10" s="354"/>
      <c r="M10" s="354"/>
      <c r="N10" s="354"/>
      <c r="O10" s="354"/>
      <c r="Q10" s="385"/>
      <c r="R10" s="426">
        <v>0.57638888888888884</v>
      </c>
      <c r="S10" s="387">
        <v>45758</v>
      </c>
      <c r="T10" s="388">
        <v>40</v>
      </c>
      <c r="U10" s="385">
        <v>416</v>
      </c>
      <c r="V10" s="407">
        <f>(U10-U9)/T9</f>
        <v>0.45454545454545453</v>
      </c>
      <c r="W10" s="440">
        <v>7473</v>
      </c>
      <c r="X10" s="440" t="s">
        <v>308</v>
      </c>
      <c r="Y10" s="440" t="s">
        <v>371</v>
      </c>
      <c r="Z10" s="385"/>
      <c r="AB10" s="442" t="s">
        <v>283</v>
      </c>
      <c r="AC10" s="426">
        <v>0.70833333333333337</v>
      </c>
      <c r="AD10" s="408">
        <v>46062</v>
      </c>
      <c r="AE10" s="385">
        <v>53</v>
      </c>
      <c r="AF10" s="539">
        <v>4801</v>
      </c>
      <c r="AG10" s="389">
        <f t="shared" si="8"/>
        <v>44</v>
      </c>
      <c r="AH10" s="385">
        <v>10528</v>
      </c>
      <c r="AI10" s="385" t="s">
        <v>406</v>
      </c>
      <c r="AJ10" s="385" t="s">
        <v>383</v>
      </c>
      <c r="AK10" s="470"/>
      <c r="AN10" s="491">
        <v>0.47638888888888886</v>
      </c>
      <c r="AO10" s="513">
        <v>46101</v>
      </c>
      <c r="AP10" s="469">
        <v>116</v>
      </c>
      <c r="AQ10" s="540">
        <v>7172</v>
      </c>
      <c r="AR10" s="516">
        <f t="shared" si="18"/>
        <v>16</v>
      </c>
      <c r="AS10" s="469">
        <v>12782</v>
      </c>
      <c r="AT10" s="469" t="s">
        <v>168</v>
      </c>
      <c r="AU10" s="469" t="s">
        <v>338</v>
      </c>
      <c r="AV10" s="517"/>
      <c r="AY10" s="426">
        <v>0.60069444444444442</v>
      </c>
      <c r="AZ10" s="408">
        <v>45960</v>
      </c>
      <c r="BA10" s="444">
        <v>100</v>
      </c>
      <c r="BB10" s="427">
        <v>3502</v>
      </c>
      <c r="BC10" s="427">
        <f t="shared" si="1"/>
        <v>17</v>
      </c>
      <c r="BD10" s="385">
        <v>9473</v>
      </c>
      <c r="BE10" s="385" t="s">
        <v>67</v>
      </c>
      <c r="BF10" s="385" t="s">
        <v>389</v>
      </c>
      <c r="BG10" s="470"/>
      <c r="BH10" s="355"/>
      <c r="BI10" s="355"/>
      <c r="BK10" s="385"/>
      <c r="BL10" s="385"/>
      <c r="BM10" s="387">
        <v>45050</v>
      </c>
      <c r="BN10" s="388">
        <v>102</v>
      </c>
      <c r="BO10" s="385">
        <v>7880</v>
      </c>
      <c r="BP10" s="407">
        <f t="shared" si="9"/>
        <v>0.2087912087912088</v>
      </c>
      <c r="BQ10" s="440"/>
      <c r="BR10" s="385"/>
      <c r="BS10" s="385"/>
      <c r="BT10" s="385"/>
      <c r="BU10" s="355"/>
      <c r="BV10" s="472"/>
      <c r="BW10" s="439"/>
      <c r="BX10" s="446">
        <v>45010</v>
      </c>
      <c r="BY10" s="422">
        <v>53</v>
      </c>
      <c r="BZ10" s="423">
        <v>8642.2999999999993</v>
      </c>
      <c r="CA10" s="447">
        <f t="shared" si="10"/>
        <v>0.19850746268655631</v>
      </c>
      <c r="CB10" s="385"/>
      <c r="CC10" s="385"/>
      <c r="CD10" s="385"/>
      <c r="CG10" s="385"/>
      <c r="CH10" s="451">
        <v>0.43055555555555558</v>
      </c>
      <c r="CI10" s="421">
        <v>45126</v>
      </c>
      <c r="CJ10" s="474">
        <v>189</v>
      </c>
      <c r="CK10" s="452">
        <v>127</v>
      </c>
      <c r="CL10" s="527">
        <f t="shared" si="17"/>
        <v>0.10900473933649289</v>
      </c>
      <c r="CM10" s="476">
        <v>6378</v>
      </c>
      <c r="CN10" s="452"/>
      <c r="CO10" s="452"/>
      <c r="CP10" s="453"/>
      <c r="CQ10" s="453"/>
      <c r="CS10" s="426"/>
      <c r="CT10" s="387">
        <v>45383</v>
      </c>
      <c r="CU10" s="388">
        <v>197</v>
      </c>
      <c r="CV10" s="385">
        <v>5573</v>
      </c>
      <c r="CW10" s="391"/>
      <c r="CX10" s="385">
        <v>8489</v>
      </c>
      <c r="CY10" s="385" t="s">
        <v>346</v>
      </c>
      <c r="CZ10" s="385" t="s">
        <v>375</v>
      </c>
      <c r="DC10" s="399" t="s">
        <v>348</v>
      </c>
      <c r="DD10" s="426">
        <v>0.39583333333333331</v>
      </c>
      <c r="DE10" s="408">
        <v>45374</v>
      </c>
      <c r="DF10" s="388">
        <v>60</v>
      </c>
      <c r="DG10" s="385">
        <v>0</v>
      </c>
      <c r="DH10" s="449">
        <f t="shared" si="11"/>
        <v>0</v>
      </c>
      <c r="DI10" s="385">
        <v>5118</v>
      </c>
      <c r="DJ10" s="385"/>
      <c r="DK10" s="440" t="s">
        <v>411</v>
      </c>
      <c r="DL10" s="385"/>
      <c r="DM10" s="355"/>
      <c r="DN10" s="399" t="s">
        <v>60</v>
      </c>
      <c r="DO10" s="426">
        <v>0.36041666666666666</v>
      </c>
      <c r="DP10" s="408">
        <v>45439</v>
      </c>
      <c r="DQ10" s="385">
        <v>252</v>
      </c>
      <c r="DR10" s="385">
        <v>187.5</v>
      </c>
      <c r="DS10" s="402">
        <f t="shared" si="2"/>
        <v>6.7187499999999997E-2</v>
      </c>
      <c r="DT10" s="385">
        <v>4142</v>
      </c>
      <c r="DU10" s="402" t="s">
        <v>308</v>
      </c>
      <c r="DV10" s="385" t="s">
        <v>390</v>
      </c>
      <c r="DX10" s="399" t="s">
        <v>286</v>
      </c>
      <c r="DY10" s="416">
        <v>0.44444444444444442</v>
      </c>
      <c r="DZ10" s="417">
        <v>45546</v>
      </c>
      <c r="EA10" s="418">
        <v>200</v>
      </c>
      <c r="EB10" s="418"/>
      <c r="EC10" s="407">
        <f t="shared" si="3"/>
        <v>-0.42140672782874622</v>
      </c>
      <c r="ED10" s="385">
        <v>6368</v>
      </c>
      <c r="EE10" s="418" t="s">
        <v>312</v>
      </c>
      <c r="EF10" s="418" t="s">
        <v>313</v>
      </c>
      <c r="EG10" s="541" t="s">
        <v>412</v>
      </c>
      <c r="EH10" s="355"/>
      <c r="EI10" s="355"/>
      <c r="EJ10" s="409" t="s">
        <v>376</v>
      </c>
      <c r="EK10" s="426">
        <v>0.34583333333333333</v>
      </c>
      <c r="EL10" s="408">
        <v>45797</v>
      </c>
      <c r="EM10" s="388">
        <v>67</v>
      </c>
      <c r="EN10" s="385">
        <v>480</v>
      </c>
      <c r="EO10" s="427">
        <f t="shared" si="12"/>
        <v>387.4</v>
      </c>
      <c r="EP10" s="385">
        <v>9425</v>
      </c>
      <c r="EQ10" s="385" t="s">
        <v>149</v>
      </c>
      <c r="ER10" s="385" t="s">
        <v>149</v>
      </c>
      <c r="ES10" s="385" t="s">
        <v>413</v>
      </c>
      <c r="ET10" s="355"/>
      <c r="EW10" s="385"/>
      <c r="EX10" s="385"/>
      <c r="EY10" s="387">
        <v>44957</v>
      </c>
      <c r="EZ10" s="388">
        <v>79</v>
      </c>
      <c r="FA10" s="385">
        <v>4870</v>
      </c>
      <c r="FB10" s="407">
        <f t="shared" si="13"/>
        <v>0.13402061855670103</v>
      </c>
      <c r="FC10" s="385"/>
      <c r="FD10" s="385"/>
      <c r="FE10" s="385"/>
      <c r="FG10" s="409" t="s">
        <v>289</v>
      </c>
      <c r="FH10" s="426">
        <v>0.625</v>
      </c>
      <c r="FI10" s="408">
        <v>45769</v>
      </c>
      <c r="FJ10" s="388">
        <v>49</v>
      </c>
      <c r="FK10" s="385">
        <v>84</v>
      </c>
      <c r="FL10" s="407">
        <f t="shared" si="19"/>
        <v>0.33333333333333331</v>
      </c>
      <c r="FM10" s="385">
        <v>9506</v>
      </c>
      <c r="FN10" s="385" t="s">
        <v>117</v>
      </c>
      <c r="FO10" s="385" t="s">
        <v>354</v>
      </c>
      <c r="FP10" s="385"/>
      <c r="FR10" s="509" t="s">
        <v>288</v>
      </c>
      <c r="FS10" s="451">
        <v>0.55555555555555558</v>
      </c>
      <c r="FT10" s="408">
        <v>45254</v>
      </c>
      <c r="FU10" s="474">
        <v>47</v>
      </c>
      <c r="FV10" s="452">
        <v>1805.2</v>
      </c>
      <c r="FW10" s="402">
        <f t="shared" si="4"/>
        <v>-219.14594594594593</v>
      </c>
      <c r="FX10" s="452">
        <v>7081</v>
      </c>
      <c r="FY10" s="452"/>
      <c r="FZ10" s="452"/>
      <c r="GB10" s="415" t="s">
        <v>319</v>
      </c>
      <c r="GC10" s="542">
        <v>0.67847222222222225</v>
      </c>
      <c r="GD10" s="543">
        <v>45558</v>
      </c>
      <c r="GE10" s="541">
        <v>50</v>
      </c>
      <c r="GF10" s="541">
        <v>3922</v>
      </c>
      <c r="GG10" s="494">
        <f t="shared" si="0"/>
        <v>0.41935483870967744</v>
      </c>
      <c r="GH10" s="469"/>
      <c r="GI10" s="541"/>
      <c r="GJ10" s="541" t="s">
        <v>396</v>
      </c>
      <c r="GK10" s="385"/>
      <c r="GN10" s="420">
        <v>0.58611111111111114</v>
      </c>
      <c r="GO10" s="421">
        <v>45545</v>
      </c>
      <c r="GP10" s="484">
        <v>50</v>
      </c>
      <c r="GQ10" s="482">
        <v>4829</v>
      </c>
      <c r="GR10" s="544">
        <f t="shared" si="14"/>
        <v>0.15714285714285714</v>
      </c>
      <c r="GS10" s="486">
        <v>8728</v>
      </c>
      <c r="GT10" s="486" t="s">
        <v>381</v>
      </c>
      <c r="GU10" s="452" t="s">
        <v>414</v>
      </c>
      <c r="GX10" s="419" t="s">
        <v>290</v>
      </c>
      <c r="GY10" s="545">
        <v>0.41666666666666669</v>
      </c>
      <c r="GZ10" s="530">
        <v>45608</v>
      </c>
      <c r="HA10" s="531">
        <v>50</v>
      </c>
      <c r="HB10" s="531">
        <v>0</v>
      </c>
      <c r="HC10" s="532">
        <f t="shared" ref="HC10:HC16" si="20">(HB10-HB9)/HA9</f>
        <v>-43.784374999999997</v>
      </c>
      <c r="HD10" s="531">
        <v>7882</v>
      </c>
      <c r="HE10" s="531" t="str">
        <f t="shared" ref="HE10:HF12" si="21">+HE9</f>
        <v xml:space="preserve">Villela </v>
      </c>
      <c r="HF10" s="531" t="str">
        <f t="shared" si="21"/>
        <v>3 puertas</v>
      </c>
      <c r="HH10" s="409" t="s">
        <v>291</v>
      </c>
      <c r="HI10" s="426">
        <v>0.78333333333333333</v>
      </c>
      <c r="HJ10" s="408">
        <v>46083</v>
      </c>
      <c r="HK10" s="388">
        <v>29</v>
      </c>
      <c r="HL10" s="385"/>
      <c r="HM10" s="427">
        <f t="shared" si="5"/>
        <v>0</v>
      </c>
      <c r="HN10" s="385">
        <v>11306</v>
      </c>
      <c r="HO10" s="385"/>
      <c r="HP10" s="385" t="s">
        <v>383</v>
      </c>
      <c r="HT10" s="386" t="s">
        <v>324</v>
      </c>
      <c r="HU10" s="426">
        <v>0.9243055555555556</v>
      </c>
      <c r="HV10" s="387">
        <v>45216</v>
      </c>
      <c r="HW10" s="388">
        <v>17</v>
      </c>
      <c r="HX10" s="385"/>
      <c r="HY10" s="385"/>
      <c r="HZ10" s="385"/>
      <c r="IO10" s="386" t="s">
        <v>326</v>
      </c>
      <c r="IP10" s="426">
        <v>0.58958333333333335</v>
      </c>
      <c r="IQ10" s="408">
        <v>45251</v>
      </c>
      <c r="IR10" s="385">
        <v>36</v>
      </c>
      <c r="IS10" s="385">
        <v>0</v>
      </c>
      <c r="IT10" s="385">
        <v>0</v>
      </c>
      <c r="IU10" s="385">
        <v>7039</v>
      </c>
      <c r="IV10" s="385"/>
      <c r="IX10" s="452" t="s">
        <v>410</v>
      </c>
      <c r="IY10" s="426">
        <v>7.7083333333333337E-2</v>
      </c>
      <c r="IZ10" s="408">
        <v>45516</v>
      </c>
      <c r="JA10" s="388">
        <v>17</v>
      </c>
      <c r="JB10" s="385"/>
      <c r="JC10" s="385"/>
      <c r="JD10" s="385">
        <v>6121</v>
      </c>
      <c r="JE10" s="385"/>
      <c r="JF10" s="385" t="s">
        <v>320</v>
      </c>
      <c r="JK10" s="546"/>
      <c r="JL10" s="547">
        <v>0.36805555555555558</v>
      </c>
      <c r="JM10" s="548">
        <v>45673</v>
      </c>
      <c r="JN10" s="546">
        <v>23</v>
      </c>
      <c r="JO10" s="546">
        <v>3990</v>
      </c>
      <c r="JP10" s="549">
        <v>0</v>
      </c>
      <c r="JQ10" s="550">
        <v>12092</v>
      </c>
      <c r="JR10" s="385"/>
      <c r="JS10" s="385"/>
      <c r="JT10" s="385"/>
      <c r="JW10" s="399" t="s">
        <v>293</v>
      </c>
      <c r="JX10" s="452"/>
      <c r="JY10" s="473">
        <v>45654</v>
      </c>
      <c r="JZ10" s="452">
        <v>66</v>
      </c>
      <c r="KA10" s="452">
        <v>0</v>
      </c>
      <c r="KB10" s="452">
        <v>0</v>
      </c>
      <c r="KC10" s="452">
        <v>7400</v>
      </c>
      <c r="KD10" s="452"/>
      <c r="KE10" s="385"/>
      <c r="KP10" s="551">
        <v>0.47916666666666669</v>
      </c>
      <c r="KQ10" s="552">
        <v>45198</v>
      </c>
      <c r="KR10" s="393">
        <v>134</v>
      </c>
      <c r="KS10" s="393">
        <v>3472.3</v>
      </c>
      <c r="KT10" s="477">
        <f t="shared" si="6"/>
        <v>0.24603174603174602</v>
      </c>
      <c r="KU10" s="393">
        <v>5873</v>
      </c>
      <c r="KW10" s="385"/>
      <c r="KX10" s="421"/>
      <c r="KY10" s="474"/>
      <c r="KZ10" s="452"/>
      <c r="LA10" s="402" t="e">
        <f t="shared" si="15"/>
        <v>#DIV/0!</v>
      </c>
      <c r="LB10" s="452"/>
      <c r="LD10" s="385"/>
      <c r="LE10" s="421"/>
      <c r="LF10" s="474"/>
      <c r="LG10" s="452"/>
      <c r="LH10" s="402" t="e">
        <f t="shared" si="16"/>
        <v>#DIV/0!</v>
      </c>
      <c r="LI10" s="452"/>
      <c r="LS10" s="472"/>
      <c r="LT10" s="423"/>
      <c r="LU10" s="408">
        <v>0</v>
      </c>
      <c r="LV10" s="422">
        <v>20</v>
      </c>
      <c r="LW10" s="423">
        <v>0</v>
      </c>
      <c r="LX10" s="466">
        <f t="shared" si="7"/>
        <v>0</v>
      </c>
    </row>
    <row r="11" spans="2:337" ht="15.75" customHeight="1" x14ac:dyDescent="0.25">
      <c r="B11" s="467" t="s">
        <v>369</v>
      </c>
      <c r="C11" s="467"/>
      <c r="D11" s="421">
        <v>45911</v>
      </c>
      <c r="E11" s="452">
        <v>76</v>
      </c>
      <c r="F11" s="452"/>
      <c r="G11" s="452">
        <v>10829</v>
      </c>
      <c r="H11" s="452" t="s">
        <v>304</v>
      </c>
      <c r="K11" s="354"/>
      <c r="L11" s="354"/>
      <c r="M11" s="354"/>
      <c r="N11" s="354"/>
      <c r="O11" s="354"/>
      <c r="Q11" s="399" t="s">
        <v>335</v>
      </c>
      <c r="R11" s="430"/>
      <c r="S11" s="387">
        <v>45762</v>
      </c>
      <c r="T11" s="505">
        <v>40</v>
      </c>
      <c r="U11" s="506"/>
      <c r="V11" s="506"/>
      <c r="W11" s="507">
        <v>10110</v>
      </c>
      <c r="X11" s="507" t="s">
        <v>308</v>
      </c>
      <c r="Y11" s="507" t="s">
        <v>371</v>
      </c>
      <c r="Z11" s="506" t="s">
        <v>387</v>
      </c>
      <c r="AB11" s="354"/>
      <c r="AC11" s="426">
        <v>0.80763888888888891</v>
      </c>
      <c r="AD11" s="408">
        <v>46064</v>
      </c>
      <c r="AE11" s="385">
        <v>84</v>
      </c>
      <c r="AF11" s="539">
        <v>4818</v>
      </c>
      <c r="AG11" s="389">
        <f t="shared" si="8"/>
        <v>17</v>
      </c>
      <c r="AH11" s="385">
        <v>10544</v>
      </c>
      <c r="AI11" s="385" t="s">
        <v>406</v>
      </c>
      <c r="AJ11" s="385" t="s">
        <v>383</v>
      </c>
      <c r="AK11" s="470"/>
      <c r="AO11" s="354"/>
      <c r="AP11" s="354"/>
      <c r="AQ11" s="354"/>
      <c r="AR11" s="354"/>
      <c r="AS11" s="354"/>
      <c r="AT11" s="354"/>
      <c r="AU11" s="354"/>
      <c r="AV11" s="354"/>
      <c r="AX11" s="442" t="s">
        <v>339</v>
      </c>
      <c r="AY11" s="426">
        <v>0.40555555555555556</v>
      </c>
      <c r="AZ11" s="408">
        <v>45972</v>
      </c>
      <c r="BA11" s="444">
        <v>200</v>
      </c>
      <c r="BB11" s="427">
        <v>3512</v>
      </c>
      <c r="BC11" s="427">
        <f t="shared" si="1"/>
        <v>10</v>
      </c>
      <c r="BD11" s="385">
        <v>11160</v>
      </c>
      <c r="BE11" s="385" t="s">
        <v>308</v>
      </c>
      <c r="BF11" s="385" t="s">
        <v>389</v>
      </c>
      <c r="BG11" s="470"/>
      <c r="BH11" s="355"/>
      <c r="BI11" s="355"/>
      <c r="BK11" s="385"/>
      <c r="BL11" s="385"/>
      <c r="BM11" s="387">
        <v>45051</v>
      </c>
      <c r="BN11" s="388">
        <v>37</v>
      </c>
      <c r="BO11" s="385">
        <v>7890</v>
      </c>
      <c r="BP11" s="407">
        <f t="shared" si="9"/>
        <v>9.8039215686274508E-2</v>
      </c>
      <c r="BQ11" s="440"/>
      <c r="BR11" s="385"/>
      <c r="BS11" s="385"/>
      <c r="BT11" s="385"/>
      <c r="BU11" s="355"/>
      <c r="BV11" s="472"/>
      <c r="BW11" s="439"/>
      <c r="BX11" s="446">
        <v>45017</v>
      </c>
      <c r="BY11" s="422">
        <v>83</v>
      </c>
      <c r="BZ11" s="423">
        <v>8663</v>
      </c>
      <c r="CA11" s="447">
        <f t="shared" si="10"/>
        <v>0.39056603773586279</v>
      </c>
      <c r="CB11" s="385"/>
      <c r="CC11" s="385"/>
      <c r="CD11" s="385"/>
      <c r="CG11" s="385"/>
      <c r="CH11" s="426">
        <v>0.40416666666666662</v>
      </c>
      <c r="CI11" s="408">
        <v>45132</v>
      </c>
      <c r="CJ11" s="388">
        <v>150</v>
      </c>
      <c r="CK11" s="385">
        <v>161</v>
      </c>
      <c r="CL11" s="389">
        <f t="shared" si="17"/>
        <v>0.17989417989417988</v>
      </c>
      <c r="CM11" s="440">
        <v>6419</v>
      </c>
      <c r="CN11" s="385"/>
      <c r="CO11" s="385"/>
      <c r="CS11" s="451">
        <v>0.47847222222222224</v>
      </c>
      <c r="CT11" s="421">
        <v>45386</v>
      </c>
      <c r="CU11" s="474">
        <v>20</v>
      </c>
      <c r="CV11" s="452">
        <v>5597.7</v>
      </c>
      <c r="CW11" s="391"/>
      <c r="CX11" s="452">
        <v>5653</v>
      </c>
      <c r="CY11" s="385" t="s">
        <v>346</v>
      </c>
      <c r="CZ11" s="385" t="s">
        <v>375</v>
      </c>
      <c r="DA11" s="553" t="s">
        <v>140</v>
      </c>
      <c r="DD11" s="426">
        <v>0.4777777777777778</v>
      </c>
      <c r="DE11" s="408">
        <v>45383</v>
      </c>
      <c r="DF11" s="388">
        <v>63</v>
      </c>
      <c r="DG11" s="385">
        <v>0</v>
      </c>
      <c r="DH11" s="449">
        <f t="shared" si="11"/>
        <v>0</v>
      </c>
      <c r="DI11" s="385">
        <v>8488</v>
      </c>
      <c r="DJ11" s="385"/>
      <c r="DK11" s="440" t="s">
        <v>411</v>
      </c>
      <c r="DL11" s="385"/>
      <c r="DM11" s="355"/>
      <c r="DN11" s="355"/>
      <c r="DO11" s="451"/>
      <c r="DP11" s="421">
        <v>45442</v>
      </c>
      <c r="DQ11" s="452">
        <v>344</v>
      </c>
      <c r="DR11" s="452">
        <v>218</v>
      </c>
      <c r="DS11" s="402">
        <f t="shared" si="2"/>
        <v>0.12103174603174603</v>
      </c>
      <c r="DT11" s="452">
        <v>5694</v>
      </c>
      <c r="DU11" s="402" t="s">
        <v>308</v>
      </c>
      <c r="DV11" s="452" t="s">
        <v>390</v>
      </c>
      <c r="DW11" s="453"/>
      <c r="DX11" s="470"/>
      <c r="DY11" s="478">
        <v>0.53125</v>
      </c>
      <c r="DZ11" s="479">
        <v>45548</v>
      </c>
      <c r="EA11" s="480">
        <v>257</v>
      </c>
      <c r="EB11" s="480">
        <v>198</v>
      </c>
      <c r="EC11" s="402">
        <f t="shared" si="3"/>
        <v>0.99</v>
      </c>
      <c r="ED11" s="452">
        <v>9068</v>
      </c>
      <c r="EE11" s="480" t="s">
        <v>312</v>
      </c>
      <c r="EF11" s="480" t="s">
        <v>313</v>
      </c>
      <c r="EG11" s="385"/>
      <c r="EH11" s="355"/>
      <c r="EI11" s="355"/>
      <c r="EJ11" s="409" t="s">
        <v>376</v>
      </c>
      <c r="EK11" s="426">
        <v>0.33680555555555558</v>
      </c>
      <c r="EL11" s="408">
        <v>45843</v>
      </c>
      <c r="EM11" s="388">
        <v>41</v>
      </c>
      <c r="EN11" s="385">
        <v>500</v>
      </c>
      <c r="EO11" s="427">
        <f t="shared" si="12"/>
        <v>20</v>
      </c>
      <c r="EP11" s="385">
        <v>9617</v>
      </c>
      <c r="EQ11" s="385" t="s">
        <v>149</v>
      </c>
      <c r="ER11" s="385" t="s">
        <v>149</v>
      </c>
      <c r="ES11" s="385" t="s">
        <v>415</v>
      </c>
      <c r="ET11" s="355"/>
      <c r="EW11" s="385"/>
      <c r="EX11" s="385"/>
      <c r="EY11" s="387">
        <v>44959</v>
      </c>
      <c r="EZ11" s="388">
        <v>96</v>
      </c>
      <c r="FA11" s="385">
        <v>0</v>
      </c>
      <c r="FB11" s="407">
        <f t="shared" si="13"/>
        <v>-61.645569620253163</v>
      </c>
      <c r="FC11" s="385"/>
      <c r="FD11" s="385"/>
      <c r="FE11" s="385"/>
      <c r="FH11" s="426">
        <v>0.56111111111111112</v>
      </c>
      <c r="FI11" s="408">
        <v>45772</v>
      </c>
      <c r="FJ11" s="388">
        <v>72</v>
      </c>
      <c r="FK11" s="385">
        <v>100</v>
      </c>
      <c r="FL11" s="407">
        <f t="shared" si="19"/>
        <v>0.32653061224489793</v>
      </c>
      <c r="FM11" s="385">
        <v>9585</v>
      </c>
      <c r="FN11" s="385" t="s">
        <v>117</v>
      </c>
      <c r="FO11" s="385" t="s">
        <v>354</v>
      </c>
      <c r="FP11" s="385"/>
      <c r="FR11" s="509" t="s">
        <v>288</v>
      </c>
      <c r="FS11" s="451">
        <v>0.35902777777777778</v>
      </c>
      <c r="FT11" s="408">
        <v>45350</v>
      </c>
      <c r="FU11" s="474">
        <v>25</v>
      </c>
      <c r="FV11" s="452">
        <v>1989.4</v>
      </c>
      <c r="FW11" s="402">
        <f t="shared" si="4"/>
        <v>3.9191489361702136</v>
      </c>
      <c r="FX11" s="452">
        <v>4865</v>
      </c>
      <c r="FY11" s="452"/>
      <c r="FZ11" s="452"/>
      <c r="GB11" s="531" t="s">
        <v>416</v>
      </c>
      <c r="GC11" s="545">
        <v>0.46944444444444444</v>
      </c>
      <c r="GD11" s="530">
        <v>45608</v>
      </c>
      <c r="GE11" s="531">
        <v>29</v>
      </c>
      <c r="GF11" s="531">
        <v>0</v>
      </c>
      <c r="GG11" s="536">
        <f t="shared" si="0"/>
        <v>-78.44</v>
      </c>
      <c r="GH11" s="531">
        <v>7886</v>
      </c>
      <c r="GI11" s="531"/>
      <c r="GJ11" s="531" t="str">
        <f>+GJ10</f>
        <v>privadas de escobedo</v>
      </c>
      <c r="GM11" s="419" t="s">
        <v>321</v>
      </c>
      <c r="GN11" s="554">
        <v>0.7006944444444444</v>
      </c>
      <c r="GO11" s="555">
        <v>45548</v>
      </c>
      <c r="GP11" s="556">
        <v>51</v>
      </c>
      <c r="GQ11" s="557"/>
      <c r="GR11" s="558">
        <f t="shared" si="14"/>
        <v>-96.58</v>
      </c>
      <c r="GS11" s="559">
        <v>9071</v>
      </c>
      <c r="GT11" s="559" t="s">
        <v>381</v>
      </c>
      <c r="GU11" s="560" t="s">
        <v>414</v>
      </c>
      <c r="GX11" s="419" t="s">
        <v>290</v>
      </c>
      <c r="GY11" s="545">
        <v>0.625</v>
      </c>
      <c r="GZ11" s="530">
        <v>45610</v>
      </c>
      <c r="HA11" s="531">
        <v>50</v>
      </c>
      <c r="HB11" s="531">
        <v>2824.3</v>
      </c>
      <c r="HC11" s="532">
        <f t="shared" si="20"/>
        <v>56.486000000000004</v>
      </c>
      <c r="HD11" s="531">
        <v>7610</v>
      </c>
      <c r="HE11" s="531" t="str">
        <f t="shared" si="21"/>
        <v xml:space="preserve">Villela </v>
      </c>
      <c r="HF11" s="531" t="str">
        <f t="shared" si="21"/>
        <v>3 puertas</v>
      </c>
      <c r="HI11" s="426"/>
      <c r="HJ11" s="408">
        <v>46086</v>
      </c>
      <c r="HK11" s="388">
        <v>22</v>
      </c>
      <c r="HL11" s="385">
        <v>2648</v>
      </c>
      <c r="HM11" s="427">
        <f t="shared" si="5"/>
        <v>2648</v>
      </c>
      <c r="HN11" s="385">
        <v>11306</v>
      </c>
      <c r="HO11" s="385"/>
      <c r="HP11" s="385" t="s">
        <v>383</v>
      </c>
      <c r="HT11" s="386" t="s">
        <v>324</v>
      </c>
      <c r="HU11" s="502"/>
      <c r="HV11" s="561">
        <v>45357</v>
      </c>
      <c r="HW11" s="502">
        <v>20</v>
      </c>
      <c r="HX11" s="502">
        <v>0</v>
      </c>
      <c r="HY11" s="502"/>
      <c r="HZ11" s="502">
        <v>8369</v>
      </c>
      <c r="IA11" s="562"/>
      <c r="IB11" s="562"/>
      <c r="IO11" s="386" t="s">
        <v>326</v>
      </c>
      <c r="IP11" s="426">
        <v>0.70972222222222225</v>
      </c>
      <c r="IQ11" s="408">
        <v>45261</v>
      </c>
      <c r="IR11" s="385">
        <v>41</v>
      </c>
      <c r="IS11" s="385">
        <v>0</v>
      </c>
      <c r="IT11" s="385">
        <v>0</v>
      </c>
      <c r="IU11" s="385">
        <v>7147</v>
      </c>
      <c r="IV11" s="385"/>
      <c r="IX11" s="563" t="s">
        <v>410</v>
      </c>
      <c r="IY11" s="451">
        <v>0.53333333333333333</v>
      </c>
      <c r="IZ11" s="421">
        <v>45525</v>
      </c>
      <c r="JA11" s="474">
        <v>13</v>
      </c>
      <c r="JB11" s="452"/>
      <c r="JC11" s="452"/>
      <c r="JD11" s="452">
        <v>6555</v>
      </c>
      <c r="JE11" s="452"/>
      <c r="JF11" s="452" t="s">
        <v>417</v>
      </c>
      <c r="JG11" s="453"/>
      <c r="JH11" s="453"/>
      <c r="JI11" s="453"/>
      <c r="JK11" s="526" t="s">
        <v>328</v>
      </c>
      <c r="JL11" s="426">
        <v>0.7006944444444444</v>
      </c>
      <c r="JM11" s="387">
        <v>45678</v>
      </c>
      <c r="JN11" s="385">
        <v>10</v>
      </c>
      <c r="JO11" s="385">
        <v>3993</v>
      </c>
      <c r="JP11" s="407">
        <v>0</v>
      </c>
      <c r="JQ11" s="440">
        <v>13033</v>
      </c>
      <c r="JR11" s="385"/>
      <c r="JS11" s="385"/>
      <c r="JT11" s="385"/>
      <c r="JW11" s="399" t="s">
        <v>293</v>
      </c>
      <c r="JX11" s="426">
        <v>0.66805555555555562</v>
      </c>
      <c r="JY11" s="408">
        <v>45294</v>
      </c>
      <c r="JZ11" s="385">
        <v>40</v>
      </c>
      <c r="KA11" s="385">
        <v>0</v>
      </c>
      <c r="KB11" s="385">
        <v>0</v>
      </c>
      <c r="KC11" s="385">
        <v>7505</v>
      </c>
      <c r="KD11" s="385"/>
      <c r="KE11" s="385"/>
      <c r="KO11" s="452" t="s">
        <v>330</v>
      </c>
      <c r="KP11" s="426">
        <v>0.71180555555555547</v>
      </c>
      <c r="KQ11" s="408">
        <v>45209</v>
      </c>
      <c r="KR11" s="385">
        <v>145</v>
      </c>
      <c r="KS11" s="385">
        <v>3486.7</v>
      </c>
      <c r="KT11" s="407">
        <f t="shared" si="6"/>
        <v>0.10746268656716146</v>
      </c>
      <c r="KU11" s="564">
        <v>4315</v>
      </c>
      <c r="KW11" s="385"/>
      <c r="KX11" s="408"/>
      <c r="KY11" s="388"/>
      <c r="KZ11" s="385"/>
      <c r="LA11" s="407" t="e">
        <f t="shared" si="15"/>
        <v>#DIV/0!</v>
      </c>
      <c r="LB11" s="385"/>
      <c r="LD11" s="385"/>
      <c r="LE11" s="385"/>
      <c r="LF11" s="388"/>
      <c r="LG11" s="385"/>
      <c r="LH11" s="407" t="e">
        <f t="shared" si="16"/>
        <v>#DIV/0!</v>
      </c>
      <c r="LI11" s="385"/>
      <c r="LS11" s="472"/>
      <c r="LT11" s="423"/>
      <c r="LU11" s="408">
        <v>0</v>
      </c>
      <c r="LV11" s="422">
        <v>11</v>
      </c>
      <c r="LW11" s="423">
        <v>0</v>
      </c>
      <c r="LX11" s="466">
        <f t="shared" si="7"/>
        <v>0</v>
      </c>
    </row>
    <row r="12" spans="2:337" ht="15.75" customHeight="1" thickBot="1" x14ac:dyDescent="0.3">
      <c r="B12" s="467" t="s">
        <v>369</v>
      </c>
      <c r="C12" s="467"/>
      <c r="D12" s="421">
        <v>45915</v>
      </c>
      <c r="E12" s="452">
        <v>39</v>
      </c>
      <c r="F12" s="452"/>
      <c r="G12" s="452">
        <v>10843</v>
      </c>
      <c r="H12" s="452" t="s">
        <v>304</v>
      </c>
      <c r="K12" s="354"/>
      <c r="L12" s="354"/>
      <c r="M12" s="354"/>
      <c r="N12" s="354"/>
      <c r="O12" s="354"/>
      <c r="R12" s="451">
        <v>0.36319444444444443</v>
      </c>
      <c r="S12" s="473">
        <v>45764</v>
      </c>
      <c r="T12" s="474">
        <v>30</v>
      </c>
      <c r="U12" s="452">
        <v>446</v>
      </c>
      <c r="V12" s="565">
        <f>(U12-U10)/T10</f>
        <v>0.75</v>
      </c>
      <c r="W12" s="476">
        <v>10129</v>
      </c>
      <c r="X12" s="476" t="s">
        <v>308</v>
      </c>
      <c r="Y12" s="476" t="s">
        <v>418</v>
      </c>
      <c r="Z12" s="452"/>
      <c r="AB12" s="442" t="s">
        <v>283</v>
      </c>
      <c r="AC12" s="426">
        <v>0.49583333333333335</v>
      </c>
      <c r="AD12" s="408">
        <v>46067</v>
      </c>
      <c r="AE12" s="385">
        <v>51</v>
      </c>
      <c r="AF12" s="539">
        <v>4830</v>
      </c>
      <c r="AG12" s="389">
        <f t="shared" si="8"/>
        <v>12</v>
      </c>
      <c r="AH12" s="385">
        <v>10475</v>
      </c>
      <c r="AI12" s="385" t="s">
        <v>406</v>
      </c>
      <c r="AJ12" s="385" t="s">
        <v>383</v>
      </c>
      <c r="AK12" s="470"/>
      <c r="AO12" s="354"/>
      <c r="AP12" s="354"/>
      <c r="AQ12" s="354"/>
      <c r="AR12" s="354"/>
      <c r="AS12" s="354"/>
      <c r="AT12" s="354"/>
      <c r="AU12" s="354"/>
      <c r="AV12" s="354"/>
      <c r="AY12" s="426"/>
      <c r="AZ12" s="408">
        <v>45975</v>
      </c>
      <c r="BA12" s="444">
        <v>250</v>
      </c>
      <c r="BB12" s="427">
        <v>3530</v>
      </c>
      <c r="BC12" s="427">
        <f t="shared" si="1"/>
        <v>18</v>
      </c>
      <c r="BD12" s="385">
        <v>11185</v>
      </c>
      <c r="BE12" s="385" t="s">
        <v>308</v>
      </c>
      <c r="BF12" s="385" t="s">
        <v>389</v>
      </c>
      <c r="BG12" s="470"/>
      <c r="BH12" s="355"/>
      <c r="BI12" s="355"/>
      <c r="BK12" s="385"/>
      <c r="BL12" s="385"/>
      <c r="BM12" s="387">
        <v>45055</v>
      </c>
      <c r="BN12" s="388">
        <v>43</v>
      </c>
      <c r="BO12" s="385">
        <v>7899</v>
      </c>
      <c r="BP12" s="407">
        <f t="shared" si="9"/>
        <v>0.24324324324324326</v>
      </c>
      <c r="BQ12" s="440"/>
      <c r="BR12" s="385"/>
      <c r="BS12" s="385"/>
      <c r="BT12" s="385"/>
      <c r="BU12" s="355"/>
      <c r="BV12" s="472"/>
      <c r="BW12" s="439"/>
      <c r="BX12" s="446">
        <v>45020</v>
      </c>
      <c r="BY12" s="422">
        <v>80</v>
      </c>
      <c r="BZ12" s="423">
        <v>8675</v>
      </c>
      <c r="CA12" s="447">
        <f t="shared" si="10"/>
        <v>0.14457831325301204</v>
      </c>
      <c r="CB12" s="385"/>
      <c r="CC12" s="385"/>
      <c r="CD12" s="385"/>
      <c r="CG12" s="385"/>
      <c r="CH12" s="426">
        <v>0.61805555555555558</v>
      </c>
      <c r="CI12" s="408">
        <v>45133</v>
      </c>
      <c r="CJ12" s="385">
        <v>100</v>
      </c>
      <c r="CK12" s="385">
        <v>174</v>
      </c>
      <c r="CL12" s="389">
        <f t="shared" si="17"/>
        <v>8.666666666666667E-2</v>
      </c>
      <c r="CM12" s="440">
        <v>6429</v>
      </c>
      <c r="CN12" s="385"/>
      <c r="CO12" s="385"/>
      <c r="CR12" s="399" t="s">
        <v>310</v>
      </c>
      <c r="CS12" s="426">
        <v>0.38680555555555557</v>
      </c>
      <c r="CT12" s="566">
        <v>45390</v>
      </c>
      <c r="CU12" s="388">
        <v>200</v>
      </c>
      <c r="CV12" s="385">
        <v>56147</v>
      </c>
      <c r="CW12" s="391"/>
      <c r="CX12" s="385">
        <v>8339</v>
      </c>
      <c r="CY12" s="385" t="s">
        <v>346</v>
      </c>
      <c r="CZ12" s="385" t="s">
        <v>375</v>
      </c>
      <c r="DC12" s="385"/>
      <c r="DD12" s="451">
        <v>0.47847222222222224</v>
      </c>
      <c r="DE12" s="421">
        <v>45386</v>
      </c>
      <c r="DF12" s="452">
        <v>20</v>
      </c>
      <c r="DG12" s="452">
        <v>5607.8</v>
      </c>
      <c r="DH12" s="449">
        <f t="shared" si="11"/>
        <v>89.012698412698413</v>
      </c>
      <c r="DI12" s="452">
        <v>5652</v>
      </c>
      <c r="DJ12" s="452"/>
      <c r="DK12" s="567" t="s">
        <v>140</v>
      </c>
      <c r="DL12" s="452"/>
      <c r="DM12" s="355"/>
      <c r="DN12" s="399" t="s">
        <v>60</v>
      </c>
      <c r="DO12" s="426">
        <v>0.49375000000000002</v>
      </c>
      <c r="DP12" s="408">
        <v>45446</v>
      </c>
      <c r="DQ12" s="385">
        <v>233</v>
      </c>
      <c r="DR12" s="385">
        <v>235</v>
      </c>
      <c r="DS12" s="402">
        <f t="shared" si="2"/>
        <v>4.9418604651162788E-2</v>
      </c>
      <c r="DT12" s="385">
        <v>3722</v>
      </c>
      <c r="DU12" s="402" t="s">
        <v>308</v>
      </c>
      <c r="DV12" s="385" t="s">
        <v>390</v>
      </c>
      <c r="DX12" s="399" t="s">
        <v>286</v>
      </c>
      <c r="DY12" s="416">
        <v>0.69722222222222219</v>
      </c>
      <c r="DZ12" s="417">
        <v>45553</v>
      </c>
      <c r="EA12" s="418">
        <v>156</v>
      </c>
      <c r="EB12" s="418">
        <v>213</v>
      </c>
      <c r="EC12" s="407">
        <f t="shared" si="3"/>
        <v>5.8365758754863814E-2</v>
      </c>
      <c r="ED12" s="385">
        <v>9085</v>
      </c>
      <c r="EE12" s="418" t="s">
        <v>312</v>
      </c>
      <c r="EF12" s="418" t="s">
        <v>313</v>
      </c>
      <c r="EG12" s="418" t="s">
        <v>412</v>
      </c>
      <c r="EH12" s="355"/>
      <c r="EI12" s="355"/>
      <c r="EJ12" s="409" t="s">
        <v>376</v>
      </c>
      <c r="EK12" s="426">
        <v>0.34722222222222221</v>
      </c>
      <c r="EL12" s="408">
        <v>45958</v>
      </c>
      <c r="EM12" s="388">
        <v>54</v>
      </c>
      <c r="EN12" s="385">
        <v>1017</v>
      </c>
      <c r="EO12" s="427">
        <f t="shared" si="12"/>
        <v>517</v>
      </c>
      <c r="EP12" s="385">
        <v>9617</v>
      </c>
      <c r="EQ12" s="385" t="s">
        <v>149</v>
      </c>
      <c r="ER12" s="385" t="s">
        <v>149</v>
      </c>
      <c r="ES12" s="448" t="s">
        <v>370</v>
      </c>
      <c r="ET12" s="355">
        <v>1000</v>
      </c>
      <c r="EW12" s="385"/>
      <c r="EX12" s="385"/>
      <c r="EY12" s="387">
        <v>44966</v>
      </c>
      <c r="EZ12" s="388">
        <v>82</v>
      </c>
      <c r="FA12" s="385">
        <v>0</v>
      </c>
      <c r="FB12" s="407">
        <f t="shared" si="13"/>
        <v>0</v>
      </c>
      <c r="FC12" s="385"/>
      <c r="FD12" s="385"/>
      <c r="FE12" s="385"/>
      <c r="FG12" s="409" t="s">
        <v>289</v>
      </c>
      <c r="FH12" s="426">
        <v>0.625</v>
      </c>
      <c r="FI12" s="408">
        <v>45776</v>
      </c>
      <c r="FJ12" s="385">
        <v>54</v>
      </c>
      <c r="FK12" s="385">
        <v>120.7</v>
      </c>
      <c r="FL12" s="407">
        <f t="shared" si="19"/>
        <v>0.28750000000000003</v>
      </c>
      <c r="FM12" s="385">
        <v>9617</v>
      </c>
      <c r="FN12" s="385" t="s">
        <v>117</v>
      </c>
      <c r="FO12" s="385" t="s">
        <v>354</v>
      </c>
      <c r="FP12" s="385"/>
      <c r="FR12" s="509" t="s">
        <v>288</v>
      </c>
      <c r="FS12" s="426">
        <v>0.4826388888888889</v>
      </c>
      <c r="FT12" s="408">
        <v>45355</v>
      </c>
      <c r="FU12" s="388">
        <v>25</v>
      </c>
      <c r="FV12" s="385">
        <v>2017.9</v>
      </c>
      <c r="FW12" s="407">
        <f t="shared" si="4"/>
        <v>1.1399999999999999</v>
      </c>
      <c r="FX12" s="385">
        <v>8092</v>
      </c>
      <c r="FY12" s="385" t="s">
        <v>419</v>
      </c>
      <c r="FZ12" s="385"/>
      <c r="GB12" s="531" t="str">
        <f>+GB11</f>
        <v>CAF0198M</v>
      </c>
      <c r="GC12" s="545">
        <v>0.5131944444444444</v>
      </c>
      <c r="GD12" s="530">
        <v>45621</v>
      </c>
      <c r="GE12" s="531">
        <v>57</v>
      </c>
      <c r="GF12" s="531">
        <v>5147</v>
      </c>
      <c r="GG12" s="536">
        <f t="shared" si="0"/>
        <v>177.48275862068965</v>
      </c>
      <c r="GH12" s="531">
        <v>7694</v>
      </c>
      <c r="GI12" s="531" t="s">
        <v>392</v>
      </c>
      <c r="GJ12" s="531" t="str">
        <f>+GJ11</f>
        <v>privadas de escobedo</v>
      </c>
      <c r="GM12" s="419" t="s">
        <v>321</v>
      </c>
      <c r="GN12" s="426">
        <v>0.75</v>
      </c>
      <c r="GO12" s="408">
        <v>45579</v>
      </c>
      <c r="GP12" s="385">
        <v>15</v>
      </c>
      <c r="GQ12" s="385">
        <v>4847</v>
      </c>
      <c r="GR12" s="407">
        <f t="shared" si="14"/>
        <v>95.039215686274517</v>
      </c>
      <c r="GS12" s="385">
        <v>6744</v>
      </c>
      <c r="GT12" s="385" t="str">
        <f>+GT11</f>
        <v xml:space="preserve">Villela </v>
      </c>
      <c r="GU12" s="385" t="str">
        <f>+GU11</f>
        <v>3 puertas</v>
      </c>
      <c r="GX12" s="419" t="s">
        <v>290</v>
      </c>
      <c r="GY12" s="545">
        <v>0.37291666666666667</v>
      </c>
      <c r="GZ12" s="530">
        <v>45616</v>
      </c>
      <c r="HA12" s="531">
        <v>53</v>
      </c>
      <c r="HB12" s="531">
        <v>4870</v>
      </c>
      <c r="HC12" s="532">
        <f t="shared" si="20"/>
        <v>40.913999999999994</v>
      </c>
      <c r="HD12" s="531">
        <v>7084</v>
      </c>
      <c r="HE12" s="531" t="str">
        <f t="shared" si="21"/>
        <v xml:space="preserve">Villela </v>
      </c>
      <c r="HF12" s="531" t="str">
        <f t="shared" si="21"/>
        <v>3 puertas</v>
      </c>
      <c r="HH12" s="409" t="s">
        <v>291</v>
      </c>
      <c r="HI12" s="426">
        <v>0.875</v>
      </c>
      <c r="HJ12" s="408">
        <v>46090</v>
      </c>
      <c r="HK12" s="388">
        <v>45</v>
      </c>
      <c r="HL12" s="471">
        <v>2648</v>
      </c>
      <c r="HM12" s="427">
        <f t="shared" si="5"/>
        <v>0</v>
      </c>
      <c r="HN12" s="385">
        <v>11306</v>
      </c>
      <c r="HO12" s="385"/>
      <c r="HP12" s="385" t="s">
        <v>383</v>
      </c>
      <c r="HT12" s="568" t="str">
        <f t="shared" ref="HT12:HT17" si="22">+HT11</f>
        <v>HAMM 02</v>
      </c>
      <c r="HU12" s="569">
        <v>0.64652777777777781</v>
      </c>
      <c r="HV12" s="570">
        <v>45615</v>
      </c>
      <c r="HW12" s="568">
        <v>28</v>
      </c>
      <c r="HX12" s="568">
        <v>0</v>
      </c>
      <c r="HY12" s="568"/>
      <c r="HZ12" s="568">
        <v>7648</v>
      </c>
      <c r="IA12" s="568"/>
      <c r="IB12" s="568"/>
      <c r="IO12" s="386" t="s">
        <v>326</v>
      </c>
      <c r="IP12" s="426">
        <v>0.34027777777777773</v>
      </c>
      <c r="IQ12" s="408">
        <v>45654</v>
      </c>
      <c r="IR12" s="385">
        <v>20</v>
      </c>
      <c r="IS12" s="385">
        <v>0</v>
      </c>
      <c r="IT12" s="385">
        <v>0</v>
      </c>
      <c r="IU12" s="385">
        <v>7399</v>
      </c>
      <c r="IV12" s="385"/>
      <c r="IX12" s="563" t="s">
        <v>410</v>
      </c>
      <c r="IY12" s="451">
        <v>0.75555555555555554</v>
      </c>
      <c r="IZ12" s="421">
        <v>45530</v>
      </c>
      <c r="JA12" s="474">
        <v>23</v>
      </c>
      <c r="JB12" s="452"/>
      <c r="JC12" s="452"/>
      <c r="JD12" s="452">
        <v>6588</v>
      </c>
      <c r="JE12" s="452"/>
      <c r="JF12" s="452" t="s">
        <v>417</v>
      </c>
      <c r="JG12" s="453"/>
      <c r="JH12" s="453"/>
      <c r="JI12" s="453"/>
      <c r="JK12" s="385"/>
      <c r="JL12" s="426">
        <v>0.65277777777777779</v>
      </c>
      <c r="JM12" s="387">
        <v>45702</v>
      </c>
      <c r="JN12" s="385">
        <v>27</v>
      </c>
      <c r="JO12" s="385"/>
      <c r="JP12" s="407">
        <v>0</v>
      </c>
      <c r="JQ12" s="440">
        <v>15108</v>
      </c>
      <c r="JR12" s="385"/>
      <c r="JS12" s="385"/>
      <c r="JT12" s="385"/>
      <c r="JX12" s="426">
        <v>0.5756944444444444</v>
      </c>
      <c r="JY12" s="408">
        <v>45296</v>
      </c>
      <c r="JZ12" s="385">
        <v>27</v>
      </c>
      <c r="KA12" s="385">
        <v>0</v>
      </c>
      <c r="KB12" s="385">
        <v>0</v>
      </c>
      <c r="KC12" s="385">
        <v>7522</v>
      </c>
      <c r="KD12" s="385"/>
      <c r="KE12" s="385"/>
      <c r="KO12" s="452" t="s">
        <v>330</v>
      </c>
      <c r="KP12" s="426">
        <v>0.68055555555555547</v>
      </c>
      <c r="KQ12" s="408">
        <v>45271</v>
      </c>
      <c r="KR12" s="385">
        <v>55</v>
      </c>
      <c r="KS12" s="385"/>
      <c r="KT12" s="385"/>
      <c r="KW12" s="385"/>
      <c r="KX12" s="408"/>
      <c r="KY12" s="385"/>
      <c r="KZ12" s="385"/>
      <c r="LA12" s="407" t="e">
        <f t="shared" si="15"/>
        <v>#DIV/0!</v>
      </c>
      <c r="LB12" s="385"/>
      <c r="LD12" s="385"/>
      <c r="LE12" s="408"/>
      <c r="LF12" s="385"/>
      <c r="LG12" s="385"/>
      <c r="LH12" s="407" t="e">
        <f t="shared" si="16"/>
        <v>#DIV/0!</v>
      </c>
      <c r="LI12" s="385"/>
      <c r="LS12" s="472"/>
      <c r="LT12" s="423"/>
      <c r="LU12" s="408">
        <v>0</v>
      </c>
      <c r="LV12" s="422">
        <v>0</v>
      </c>
      <c r="LW12" s="423">
        <v>0</v>
      </c>
      <c r="LX12" s="466">
        <f t="shared" si="7"/>
        <v>0</v>
      </c>
    </row>
    <row r="13" spans="2:337" ht="15.75" customHeight="1" thickBot="1" x14ac:dyDescent="0.3">
      <c r="B13" s="467" t="s">
        <v>369</v>
      </c>
      <c r="C13" s="467"/>
      <c r="D13" s="421">
        <v>45918</v>
      </c>
      <c r="E13" s="452">
        <v>10</v>
      </c>
      <c r="F13" s="452"/>
      <c r="G13" s="452">
        <v>10958</v>
      </c>
      <c r="H13" s="452" t="s">
        <v>304</v>
      </c>
      <c r="K13" s="354"/>
      <c r="L13" s="354"/>
      <c r="M13" s="354"/>
      <c r="N13" s="354"/>
      <c r="O13" s="354"/>
      <c r="R13" s="451">
        <v>0.60416666666666663</v>
      </c>
      <c r="S13" s="473">
        <v>45765</v>
      </c>
      <c r="T13" s="474">
        <v>30</v>
      </c>
      <c r="U13" s="452">
        <v>458</v>
      </c>
      <c r="V13" s="565">
        <f t="shared" ref="V13:V29" si="23">(U13-U11)/T11</f>
        <v>11.45</v>
      </c>
      <c r="W13" s="476">
        <v>9510</v>
      </c>
      <c r="X13" s="476" t="s">
        <v>308</v>
      </c>
      <c r="Y13" s="476" t="s">
        <v>393</v>
      </c>
      <c r="Z13" s="452"/>
      <c r="AB13" s="354"/>
      <c r="AC13" s="487">
        <v>0.37430555555555556</v>
      </c>
      <c r="AD13" s="488">
        <v>46070</v>
      </c>
      <c r="AE13" s="410">
        <v>75</v>
      </c>
      <c r="AF13" s="571">
        <v>4830</v>
      </c>
      <c r="AG13" s="572">
        <f t="shared" si="8"/>
        <v>0</v>
      </c>
      <c r="AH13" s="410">
        <v>10493</v>
      </c>
      <c r="AI13" s="410" t="s">
        <v>406</v>
      </c>
      <c r="AJ13" s="410" t="s">
        <v>383</v>
      </c>
      <c r="AK13" s="470" t="s">
        <v>140</v>
      </c>
      <c r="AM13" s="354"/>
      <c r="AN13" s="354"/>
      <c r="AO13" s="354"/>
      <c r="AP13" s="354"/>
      <c r="AQ13" s="354"/>
      <c r="AR13" s="354"/>
      <c r="AS13" s="354"/>
      <c r="AT13" s="354"/>
      <c r="AU13" s="354"/>
      <c r="AV13" s="354"/>
      <c r="AX13" s="442" t="s">
        <v>339</v>
      </c>
      <c r="AY13" s="426">
        <v>0.62916666666666665</v>
      </c>
      <c r="AZ13" s="408">
        <v>45981</v>
      </c>
      <c r="BA13" s="444">
        <v>162</v>
      </c>
      <c r="BB13" s="427">
        <v>3548</v>
      </c>
      <c r="BC13" s="427">
        <f t="shared" si="1"/>
        <v>18</v>
      </c>
      <c r="BD13" s="385">
        <v>11063</v>
      </c>
      <c r="BE13" s="385" t="s">
        <v>308</v>
      </c>
      <c r="BF13" s="385" t="s">
        <v>389</v>
      </c>
      <c r="BG13" s="470"/>
      <c r="BH13" s="355"/>
      <c r="BI13" s="355"/>
      <c r="BK13" s="385"/>
      <c r="BL13" s="385"/>
      <c r="BM13" s="387">
        <v>45058</v>
      </c>
      <c r="BN13" s="388">
        <v>109</v>
      </c>
      <c r="BO13" s="385">
        <v>7917</v>
      </c>
      <c r="BP13" s="407">
        <f t="shared" si="9"/>
        <v>0.41860465116279072</v>
      </c>
      <c r="BQ13" s="440"/>
      <c r="BR13" s="385"/>
      <c r="BS13" s="385"/>
      <c r="BT13" s="385"/>
      <c r="BU13" s="355"/>
      <c r="BV13" s="472"/>
      <c r="BW13" s="439"/>
      <c r="BX13" s="446">
        <v>45022</v>
      </c>
      <c r="BY13" s="422">
        <v>58</v>
      </c>
      <c r="BZ13" s="423">
        <v>8693</v>
      </c>
      <c r="CA13" s="447">
        <f t="shared" si="10"/>
        <v>0.22500000000000001</v>
      </c>
      <c r="CB13" s="385"/>
      <c r="CC13" s="385"/>
      <c r="CD13" s="385"/>
      <c r="CG13" s="385"/>
      <c r="CH13" s="451">
        <v>0.64861111111111114</v>
      </c>
      <c r="CI13" s="421">
        <v>45134</v>
      </c>
      <c r="CJ13" s="452">
        <v>176</v>
      </c>
      <c r="CK13" s="452">
        <v>184</v>
      </c>
      <c r="CL13" s="527">
        <f t="shared" si="17"/>
        <v>0.1</v>
      </c>
      <c r="CM13" s="573">
        <v>6442</v>
      </c>
      <c r="CN13" s="452"/>
      <c r="CO13" s="452"/>
      <c r="CP13" s="453"/>
      <c r="CQ13" s="453"/>
      <c r="CR13" s="385"/>
      <c r="CS13" s="426">
        <v>0.47361111111111109</v>
      </c>
      <c r="CT13" s="408">
        <v>45393</v>
      </c>
      <c r="CU13" s="388">
        <v>200</v>
      </c>
      <c r="CV13" s="385">
        <v>5637.4</v>
      </c>
      <c r="CW13" s="391"/>
      <c r="CX13" s="385">
        <v>5221</v>
      </c>
      <c r="CY13" s="385" t="s">
        <v>346</v>
      </c>
      <c r="CZ13" s="385" t="s">
        <v>375</v>
      </c>
      <c r="DC13" s="574" t="s">
        <v>420</v>
      </c>
      <c r="DD13" s="426">
        <v>0.68194444444444446</v>
      </c>
      <c r="DE13" s="408">
        <v>45394</v>
      </c>
      <c r="DF13" s="388">
        <v>32</v>
      </c>
      <c r="DG13" s="385">
        <v>5639.8</v>
      </c>
      <c r="DH13" s="449">
        <f t="shared" si="11"/>
        <v>1.6</v>
      </c>
      <c r="DI13" s="385">
        <v>5342</v>
      </c>
      <c r="DK13" s="575" t="s">
        <v>95</v>
      </c>
      <c r="DL13" s="385"/>
      <c r="DO13" s="426">
        <v>0.64722222222222225</v>
      </c>
      <c r="DP13" s="408">
        <v>45448</v>
      </c>
      <c r="DQ13" s="385">
        <v>256</v>
      </c>
      <c r="DR13" s="385">
        <v>252</v>
      </c>
      <c r="DS13" s="402">
        <f t="shared" si="2"/>
        <v>7.2961373390557943E-2</v>
      </c>
      <c r="DT13" s="385">
        <v>3746</v>
      </c>
      <c r="DU13" s="402" t="s">
        <v>308</v>
      </c>
      <c r="DV13" s="385" t="s">
        <v>390</v>
      </c>
      <c r="DX13" s="576" t="str">
        <f t="shared" ref="DX13:DX24" si="24">+DX12</f>
        <v>EX14 KOMATSU PC200</v>
      </c>
      <c r="DY13" s="547">
        <v>0.33333333333333331</v>
      </c>
      <c r="DZ13" s="577">
        <v>45572</v>
      </c>
      <c r="EA13" s="546">
        <v>192</v>
      </c>
      <c r="EB13" s="546">
        <v>236.3</v>
      </c>
      <c r="EC13" s="549">
        <f t="shared" si="3"/>
        <v>0.14935897435897444</v>
      </c>
      <c r="ED13" s="546">
        <v>11137</v>
      </c>
      <c r="EE13" s="546" t="str">
        <f t="shared" ref="EE13:EG18" si="25">+EE12</f>
        <v>CARLOS M</v>
      </c>
      <c r="EF13" s="546" t="s">
        <v>421</v>
      </c>
      <c r="EG13" s="546" t="s">
        <v>422</v>
      </c>
      <c r="EH13" s="355"/>
      <c r="EI13" s="355"/>
      <c r="EK13" s="426">
        <v>0.57013888888888886</v>
      </c>
      <c r="EL13" s="408">
        <v>45961</v>
      </c>
      <c r="EM13" s="388">
        <v>82</v>
      </c>
      <c r="EN13" s="385">
        <v>1036</v>
      </c>
      <c r="EO13" s="427">
        <f t="shared" si="12"/>
        <v>19</v>
      </c>
      <c r="EP13" s="385">
        <v>9477</v>
      </c>
      <c r="EQ13" s="385" t="s">
        <v>173</v>
      </c>
      <c r="ER13" s="385" t="s">
        <v>149</v>
      </c>
      <c r="ES13" s="385" t="s">
        <v>304</v>
      </c>
      <c r="ET13" s="355"/>
      <c r="EW13" s="385"/>
      <c r="EX13" s="385"/>
      <c r="EY13" s="387">
        <v>45051</v>
      </c>
      <c r="EZ13" s="388">
        <v>22</v>
      </c>
      <c r="FA13" s="385">
        <v>4814.5</v>
      </c>
      <c r="FB13" s="407">
        <f t="shared" si="13"/>
        <v>58.713414634146339</v>
      </c>
      <c r="FC13" s="385"/>
      <c r="FD13" s="385"/>
      <c r="FE13" s="385"/>
      <c r="FG13" s="409" t="s">
        <v>289</v>
      </c>
      <c r="FH13" s="451">
        <v>0.58611111111111114</v>
      </c>
      <c r="FI13" s="421">
        <v>45782</v>
      </c>
      <c r="FJ13" s="452">
        <v>94</v>
      </c>
      <c r="FK13" s="452">
        <v>143.69999999999999</v>
      </c>
      <c r="FL13" s="402">
        <f t="shared" si="19"/>
        <v>0.42592592592592565</v>
      </c>
      <c r="FM13" s="452">
        <v>9664</v>
      </c>
      <c r="FN13" s="452" t="s">
        <v>117</v>
      </c>
      <c r="FO13" s="452" t="s">
        <v>354</v>
      </c>
      <c r="FP13" s="452"/>
      <c r="FR13" s="509" t="s">
        <v>288</v>
      </c>
      <c r="FS13" s="426">
        <v>0.36458333333333331</v>
      </c>
      <c r="FT13" s="408">
        <v>45358</v>
      </c>
      <c r="FU13" s="388">
        <v>50</v>
      </c>
      <c r="FV13" s="385">
        <v>2046</v>
      </c>
      <c r="FW13" s="407">
        <f t="shared" si="4"/>
        <v>1.1239999999999963</v>
      </c>
      <c r="FX13" s="385">
        <v>8382</v>
      </c>
      <c r="FY13" s="385" t="s">
        <v>419</v>
      </c>
      <c r="FZ13" s="385"/>
      <c r="GB13" s="531" t="str">
        <f>+GB12</f>
        <v>CAF0198M</v>
      </c>
      <c r="GC13" s="545">
        <v>0.58125000000000004</v>
      </c>
      <c r="GD13" s="530">
        <v>45668</v>
      </c>
      <c r="GE13" s="531">
        <v>14</v>
      </c>
      <c r="GF13" s="531">
        <v>0</v>
      </c>
      <c r="GG13" s="536">
        <f t="shared" si="0"/>
        <v>-90.298245614035082</v>
      </c>
      <c r="GH13" s="531">
        <v>12051</v>
      </c>
      <c r="GI13" s="531" t="s">
        <v>333</v>
      </c>
      <c r="GJ13" s="531" t="s">
        <v>371</v>
      </c>
      <c r="GM13" s="419" t="s">
        <v>321</v>
      </c>
      <c r="GN13" s="426">
        <v>0.34722222222222227</v>
      </c>
      <c r="GO13" s="408">
        <v>45666</v>
      </c>
      <c r="GP13" s="385">
        <v>50</v>
      </c>
      <c r="GQ13" s="385">
        <v>4928.3999999999996</v>
      </c>
      <c r="GR13" s="407">
        <f>(GQ13-HB17)/HA17</f>
        <v>56.628571428571412</v>
      </c>
      <c r="GS13" s="385">
        <v>7713</v>
      </c>
      <c r="GT13" s="385" t="s">
        <v>423</v>
      </c>
      <c r="GU13" s="385" t="s">
        <v>424</v>
      </c>
      <c r="GX13" s="419" t="s">
        <v>290</v>
      </c>
      <c r="GY13" s="545">
        <v>0.7319444444444444</v>
      </c>
      <c r="GZ13" s="530">
        <v>45621</v>
      </c>
      <c r="HA13" s="531">
        <v>77</v>
      </c>
      <c r="HB13" s="531">
        <v>2850.3</v>
      </c>
      <c r="HC13" s="532">
        <f t="shared" si="20"/>
        <v>-38.107547169811319</v>
      </c>
      <c r="HD13" s="531">
        <v>7907</v>
      </c>
      <c r="HE13" s="531" t="s">
        <v>80</v>
      </c>
      <c r="HF13" s="531" t="s">
        <v>425</v>
      </c>
      <c r="HI13" s="426">
        <v>0.5</v>
      </c>
      <c r="HJ13" s="408">
        <v>46093</v>
      </c>
      <c r="HK13" s="388">
        <v>55</v>
      </c>
      <c r="HL13" s="385">
        <v>2673</v>
      </c>
      <c r="HM13" s="427">
        <f t="shared" si="5"/>
        <v>25</v>
      </c>
      <c r="HN13" s="385">
        <v>11763</v>
      </c>
      <c r="HO13" s="385"/>
      <c r="HP13" s="385" t="s">
        <v>383</v>
      </c>
      <c r="HT13" s="531" t="str">
        <f t="shared" si="22"/>
        <v>HAMM 02</v>
      </c>
      <c r="HU13" s="545">
        <v>0.44791666666666669</v>
      </c>
      <c r="HV13" s="530">
        <v>45638</v>
      </c>
      <c r="HW13" s="531">
        <v>28</v>
      </c>
      <c r="HX13" s="531">
        <v>0</v>
      </c>
      <c r="HY13" s="531"/>
      <c r="HZ13" s="531">
        <v>7366</v>
      </c>
      <c r="IA13" s="531"/>
      <c r="IB13" s="531"/>
      <c r="IO13" s="386" t="s">
        <v>326</v>
      </c>
      <c r="IP13" s="385"/>
      <c r="IQ13" s="408">
        <v>45655</v>
      </c>
      <c r="IR13" s="385">
        <v>21</v>
      </c>
      <c r="IS13" s="385">
        <v>0</v>
      </c>
      <c r="IT13" s="385">
        <v>0</v>
      </c>
      <c r="IU13" s="385">
        <v>7415</v>
      </c>
      <c r="IV13" s="385"/>
      <c r="IX13" s="563" t="s">
        <v>410</v>
      </c>
      <c r="IY13" s="491">
        <v>0.59027777777777779</v>
      </c>
      <c r="IZ13" s="513">
        <v>45539</v>
      </c>
      <c r="JA13" s="493">
        <v>35</v>
      </c>
      <c r="JB13" s="469"/>
      <c r="JC13" s="469"/>
      <c r="JD13" s="469">
        <v>9050</v>
      </c>
      <c r="JE13" s="469"/>
      <c r="JF13" s="469" t="s">
        <v>417</v>
      </c>
      <c r="JG13" s="578"/>
      <c r="JH13" s="578"/>
      <c r="JI13" s="578"/>
      <c r="JJ13" s="579"/>
      <c r="JK13" s="580" t="s">
        <v>328</v>
      </c>
      <c r="JL13" s="451">
        <v>0.57986111111111116</v>
      </c>
      <c r="JM13" s="421">
        <v>45713</v>
      </c>
      <c r="JN13" s="452">
        <v>59</v>
      </c>
      <c r="JO13" s="452"/>
      <c r="JP13" s="407">
        <v>0</v>
      </c>
      <c r="JQ13" s="452">
        <v>15087</v>
      </c>
      <c r="JR13" s="452" t="s">
        <v>392</v>
      </c>
      <c r="JS13" s="452" t="s">
        <v>426</v>
      </c>
      <c r="JW13" s="399" t="s">
        <v>293</v>
      </c>
      <c r="JX13" s="385"/>
      <c r="JY13" s="408">
        <v>45357</v>
      </c>
      <c r="JZ13" s="385">
        <v>55</v>
      </c>
      <c r="KA13" s="385">
        <v>0</v>
      </c>
      <c r="KB13" s="385">
        <v>0</v>
      </c>
      <c r="KC13" s="385">
        <v>8371</v>
      </c>
      <c r="KD13" s="385"/>
      <c r="KE13" s="385"/>
      <c r="KO13" s="452" t="s">
        <v>330</v>
      </c>
      <c r="KP13" s="581">
        <v>0.60347222222222219</v>
      </c>
      <c r="KQ13" s="582">
        <v>45315</v>
      </c>
      <c r="KR13" s="562">
        <v>39</v>
      </c>
      <c r="KS13" s="562">
        <v>3615</v>
      </c>
      <c r="KT13" s="562"/>
      <c r="KU13" s="562">
        <v>7886</v>
      </c>
      <c r="KW13" s="385"/>
      <c r="KX13" s="421"/>
      <c r="KY13" s="452"/>
      <c r="KZ13" s="452"/>
      <c r="LA13" s="402" t="e">
        <f t="shared" si="15"/>
        <v>#DIV/0!</v>
      </c>
      <c r="LB13" s="573"/>
      <c r="LD13" s="385"/>
      <c r="LE13" s="421"/>
      <c r="LF13" s="452"/>
      <c r="LG13" s="452"/>
      <c r="LH13" s="402" t="e">
        <f t="shared" si="16"/>
        <v>#DIV/0!</v>
      </c>
      <c r="LI13" s="573"/>
      <c r="LS13" s="472"/>
      <c r="LT13" s="423"/>
      <c r="LU13" s="446">
        <v>0</v>
      </c>
      <c r="LV13" s="422">
        <v>0</v>
      </c>
      <c r="LW13" s="423">
        <v>0</v>
      </c>
      <c r="LX13" s="466" t="e">
        <f t="shared" si="7"/>
        <v>#DIV/0!</v>
      </c>
    </row>
    <row r="14" spans="2:337" ht="15.75" customHeight="1" thickBot="1" x14ac:dyDescent="0.3">
      <c r="B14" s="467" t="s">
        <v>369</v>
      </c>
      <c r="C14" s="467"/>
      <c r="D14" s="421">
        <v>45923</v>
      </c>
      <c r="E14" s="452">
        <v>32</v>
      </c>
      <c r="F14" s="452"/>
      <c r="G14" s="452">
        <v>10984</v>
      </c>
      <c r="H14" s="452" t="s">
        <v>304</v>
      </c>
      <c r="K14" s="354"/>
      <c r="L14" s="354"/>
      <c r="M14" s="354"/>
      <c r="N14" s="354"/>
      <c r="O14" s="354"/>
      <c r="Q14" s="409" t="s">
        <v>427</v>
      </c>
      <c r="R14" s="426" t="s">
        <v>428</v>
      </c>
      <c r="S14" s="387">
        <v>45770</v>
      </c>
      <c r="T14" s="388">
        <v>43</v>
      </c>
      <c r="U14" s="385">
        <v>480</v>
      </c>
      <c r="V14" s="565">
        <f t="shared" si="23"/>
        <v>1.1333333333333333</v>
      </c>
      <c r="W14" s="385">
        <v>9556</v>
      </c>
      <c r="X14" s="385" t="s">
        <v>308</v>
      </c>
      <c r="Y14" s="385" t="s">
        <v>429</v>
      </c>
      <c r="Z14" s="385"/>
      <c r="AB14" s="354"/>
      <c r="AC14" s="426">
        <v>0.5083333333333333</v>
      </c>
      <c r="AD14" s="408">
        <v>46072</v>
      </c>
      <c r="AE14" s="385">
        <v>77</v>
      </c>
      <c r="AF14" s="471">
        <v>4830</v>
      </c>
      <c r="AG14" s="389">
        <f t="shared" si="8"/>
        <v>0</v>
      </c>
      <c r="AH14" s="385">
        <v>9724</v>
      </c>
      <c r="AI14" s="385" t="s">
        <v>406</v>
      </c>
      <c r="AJ14" s="385" t="s">
        <v>383</v>
      </c>
      <c r="AK14" s="354"/>
      <c r="AM14" s="354"/>
      <c r="AN14" s="354"/>
      <c r="AO14" s="354"/>
      <c r="AP14" s="354"/>
      <c r="AQ14" s="354"/>
      <c r="AR14" s="354"/>
      <c r="AS14" s="354"/>
      <c r="AT14" s="354"/>
      <c r="AU14" s="354"/>
      <c r="AV14" s="354"/>
      <c r="AX14" s="442" t="s">
        <v>339</v>
      </c>
      <c r="AY14" s="426">
        <v>0.65416666666666667</v>
      </c>
      <c r="AZ14" s="408">
        <v>45986</v>
      </c>
      <c r="BA14" s="444">
        <v>100</v>
      </c>
      <c r="BB14" s="427">
        <v>3560</v>
      </c>
      <c r="BC14" s="427">
        <f t="shared" si="1"/>
        <v>12</v>
      </c>
      <c r="BD14" s="385">
        <v>11093</v>
      </c>
      <c r="BE14" s="385" t="s">
        <v>308</v>
      </c>
      <c r="BF14" s="385" t="s">
        <v>389</v>
      </c>
      <c r="BG14" s="470"/>
      <c r="BH14" s="355"/>
      <c r="BI14" s="355"/>
      <c r="BK14" s="385"/>
      <c r="BL14" s="385"/>
      <c r="BM14" s="387">
        <v>45063</v>
      </c>
      <c r="BN14" s="388">
        <v>100</v>
      </c>
      <c r="BO14" s="385">
        <v>7935</v>
      </c>
      <c r="BP14" s="407">
        <f t="shared" si="9"/>
        <v>0.16513761467889909</v>
      </c>
      <c r="BQ14" s="440" t="s">
        <v>430</v>
      </c>
      <c r="BR14" s="385"/>
      <c r="BS14" s="385"/>
      <c r="BT14" s="385"/>
      <c r="BU14" s="355"/>
      <c r="BV14" s="472"/>
      <c r="BW14" s="439"/>
      <c r="BX14" s="446">
        <v>45027</v>
      </c>
      <c r="BY14" s="422">
        <v>83</v>
      </c>
      <c r="BZ14" s="423">
        <v>8709</v>
      </c>
      <c r="CA14" s="447">
        <f t="shared" si="10"/>
        <v>0.27586206896551724</v>
      </c>
      <c r="CB14" s="385"/>
      <c r="CC14" s="385"/>
      <c r="CD14" s="385"/>
      <c r="CG14" s="385"/>
      <c r="CH14" s="451">
        <v>0.46527777777777773</v>
      </c>
      <c r="CI14" s="421">
        <v>45136</v>
      </c>
      <c r="CJ14" s="452">
        <v>106</v>
      </c>
      <c r="CK14" s="452">
        <v>197</v>
      </c>
      <c r="CL14" s="527">
        <f t="shared" si="17"/>
        <v>7.3863636363636367E-2</v>
      </c>
      <c r="CM14" s="453">
        <v>6464</v>
      </c>
      <c r="CN14" s="452"/>
      <c r="CO14" s="452"/>
      <c r="CP14" s="453"/>
      <c r="CQ14" s="453"/>
      <c r="CR14" s="399" t="s">
        <v>310</v>
      </c>
      <c r="CS14" s="451">
        <v>0.58333333333333337</v>
      </c>
      <c r="CT14" s="421">
        <v>45397</v>
      </c>
      <c r="CU14" s="452">
        <v>186</v>
      </c>
      <c r="CV14" s="452">
        <v>5658.4</v>
      </c>
      <c r="CW14" s="391"/>
      <c r="CX14" s="452">
        <v>5366</v>
      </c>
      <c r="CY14" s="385" t="s">
        <v>346</v>
      </c>
      <c r="CZ14" s="385" t="s">
        <v>375</v>
      </c>
      <c r="DC14" s="399" t="s">
        <v>311</v>
      </c>
      <c r="DD14" s="426">
        <v>0.71527777777777779</v>
      </c>
      <c r="DE14" s="408">
        <v>45412</v>
      </c>
      <c r="DF14" s="388">
        <v>86</v>
      </c>
      <c r="DG14" s="385"/>
      <c r="DH14" s="449"/>
      <c r="DI14" s="385">
        <v>5551</v>
      </c>
      <c r="DJ14" s="385"/>
      <c r="DK14" s="468"/>
      <c r="DL14" s="385"/>
      <c r="DM14" s="355"/>
      <c r="DN14" s="355"/>
      <c r="DO14" s="451">
        <v>0.68819444444444444</v>
      </c>
      <c r="DP14" s="421">
        <v>45450</v>
      </c>
      <c r="DQ14" s="452">
        <v>212</v>
      </c>
      <c r="DR14" s="452"/>
      <c r="DS14" s="402">
        <f t="shared" si="2"/>
        <v>-0.984375</v>
      </c>
      <c r="DT14" s="452">
        <v>3764</v>
      </c>
      <c r="DU14" s="402" t="s">
        <v>308</v>
      </c>
      <c r="DV14" s="452" t="s">
        <v>390</v>
      </c>
      <c r="DW14" s="453"/>
      <c r="DX14" s="583" t="str">
        <f t="shared" si="24"/>
        <v>EX14 KOMATSU PC200</v>
      </c>
      <c r="DY14" s="547">
        <v>0.3840277777777778</v>
      </c>
      <c r="DZ14" s="577">
        <v>45579</v>
      </c>
      <c r="EA14" s="546">
        <v>203</v>
      </c>
      <c r="EB14" s="546">
        <v>267.60000000000002</v>
      </c>
      <c r="EC14" s="549">
        <f t="shared" si="3"/>
        <v>0.16302083333333339</v>
      </c>
      <c r="ED14" s="546">
        <v>11259</v>
      </c>
      <c r="EE14" s="546" t="str">
        <f t="shared" si="25"/>
        <v>CARLOS M</v>
      </c>
      <c r="EF14" s="546" t="str">
        <f t="shared" si="25"/>
        <v xml:space="preserve">Portal </v>
      </c>
      <c r="EG14" s="546" t="str">
        <f t="shared" si="25"/>
        <v>nissan</v>
      </c>
      <c r="EH14" s="355"/>
      <c r="EI14" s="355"/>
      <c r="EJ14" s="409" t="s">
        <v>376</v>
      </c>
      <c r="EK14" s="426">
        <v>0.51736111111111116</v>
      </c>
      <c r="EL14" s="408">
        <v>45966</v>
      </c>
      <c r="EM14" s="388">
        <v>56</v>
      </c>
      <c r="EN14" s="385">
        <v>1054</v>
      </c>
      <c r="EO14" s="427">
        <f t="shared" si="12"/>
        <v>18</v>
      </c>
      <c r="EP14" s="385">
        <v>11019</v>
      </c>
      <c r="EQ14" s="385" t="s">
        <v>173</v>
      </c>
      <c r="ER14" s="385" t="s">
        <v>304</v>
      </c>
      <c r="ES14" s="385"/>
      <c r="ET14" s="355"/>
      <c r="EW14" s="385"/>
      <c r="EX14" s="385"/>
      <c r="EY14" s="387">
        <v>45055</v>
      </c>
      <c r="EZ14" s="388">
        <v>37</v>
      </c>
      <c r="FA14" s="385">
        <v>4814.5</v>
      </c>
      <c r="FB14" s="407">
        <f t="shared" si="13"/>
        <v>0</v>
      </c>
      <c r="FC14" s="385"/>
      <c r="FD14" s="385"/>
      <c r="FE14" s="385"/>
      <c r="FH14" s="451">
        <v>0.4909722222222222</v>
      </c>
      <c r="FI14" s="421">
        <v>45786</v>
      </c>
      <c r="FJ14" s="452">
        <v>50</v>
      </c>
      <c r="FK14" s="452">
        <v>160</v>
      </c>
      <c r="FL14" s="402">
        <f t="shared" si="19"/>
        <v>0.17340425531914905</v>
      </c>
      <c r="FM14" s="452">
        <v>9764</v>
      </c>
      <c r="FN14" s="452" t="s">
        <v>117</v>
      </c>
      <c r="FO14" s="452" t="s">
        <v>354</v>
      </c>
      <c r="FP14" s="452"/>
      <c r="FR14" s="509" t="s">
        <v>288</v>
      </c>
      <c r="FS14" s="426">
        <v>0.68402777777777779</v>
      </c>
      <c r="FT14" s="408">
        <v>45364</v>
      </c>
      <c r="FU14" s="388">
        <v>46</v>
      </c>
      <c r="FV14" s="385">
        <v>2085.5</v>
      </c>
      <c r="FW14" s="407">
        <f t="shared" si="4"/>
        <v>0.79</v>
      </c>
      <c r="FX14" s="385">
        <v>8092</v>
      </c>
      <c r="FY14" s="385" t="s">
        <v>419</v>
      </c>
      <c r="FZ14" s="385"/>
      <c r="GB14" s="531" t="str">
        <f>+GB13</f>
        <v>CAF0198M</v>
      </c>
      <c r="GC14" s="545">
        <v>0.38194444444444442</v>
      </c>
      <c r="GD14" s="530">
        <v>45670</v>
      </c>
      <c r="GE14" s="531">
        <v>44</v>
      </c>
      <c r="GF14" s="531">
        <v>4042</v>
      </c>
      <c r="GG14" s="536">
        <f t="shared" si="0"/>
        <v>288.71428571428572</v>
      </c>
      <c r="GH14" s="531">
        <v>8200</v>
      </c>
      <c r="GI14" s="531" t="s">
        <v>431</v>
      </c>
      <c r="GJ14" s="531">
        <v>0</v>
      </c>
      <c r="GM14" s="419" t="s">
        <v>321</v>
      </c>
      <c r="GN14" s="426">
        <v>0.62430555555555556</v>
      </c>
      <c r="GO14" s="408">
        <v>45673</v>
      </c>
      <c r="GP14" s="385">
        <v>70</v>
      </c>
      <c r="GQ14" s="385">
        <v>4945.5</v>
      </c>
      <c r="GR14" s="407">
        <f t="shared" ref="GR14:GR26" si="26">(GQ14-GQ13)/GP13</f>
        <v>0.3420000000000073</v>
      </c>
      <c r="GS14" s="385">
        <v>12081</v>
      </c>
      <c r="GT14" s="385" t="str">
        <f>+GT13</f>
        <v>FIMEX</v>
      </c>
      <c r="GU14" s="385" t="str">
        <f>+GU13</f>
        <v>VILLELA</v>
      </c>
      <c r="GX14" s="419" t="s">
        <v>290</v>
      </c>
      <c r="GY14" s="545">
        <v>0.4152777777777778</v>
      </c>
      <c r="GZ14" s="530">
        <v>45640</v>
      </c>
      <c r="HA14" s="531">
        <v>50</v>
      </c>
      <c r="HB14" s="531">
        <v>0</v>
      </c>
      <c r="HC14" s="532">
        <f t="shared" si="20"/>
        <v>-37.016883116883122</v>
      </c>
      <c r="HD14" s="531">
        <v>8016</v>
      </c>
      <c r="HE14" s="531" t="str">
        <f>+HE13</f>
        <v>MANUEL</v>
      </c>
      <c r="HF14" s="531" t="str">
        <f>+HF13</f>
        <v>PILARES</v>
      </c>
      <c r="HH14" s="409" t="s">
        <v>291</v>
      </c>
      <c r="HI14" s="491">
        <v>0.54513888888888884</v>
      </c>
      <c r="HJ14" s="513">
        <v>46097</v>
      </c>
      <c r="HK14" s="493">
        <v>33</v>
      </c>
      <c r="HL14" s="469">
        <v>2679</v>
      </c>
      <c r="HM14" s="584">
        <f t="shared" si="5"/>
        <v>6</v>
      </c>
      <c r="HN14" s="469">
        <v>11784</v>
      </c>
      <c r="HO14" s="469"/>
      <c r="HP14" s="469" t="s">
        <v>383</v>
      </c>
      <c r="HT14" s="531" t="str">
        <f t="shared" si="22"/>
        <v>HAMM 02</v>
      </c>
      <c r="HU14" s="545">
        <v>0.77430555555555558</v>
      </c>
      <c r="HV14" s="530">
        <v>45645</v>
      </c>
      <c r="HW14" s="531">
        <v>79</v>
      </c>
      <c r="HX14" s="531">
        <v>0</v>
      </c>
      <c r="HY14" s="531"/>
      <c r="HZ14" s="531">
        <v>9089</v>
      </c>
      <c r="IA14" s="531"/>
      <c r="IB14" s="531"/>
      <c r="IO14" s="386" t="s">
        <v>326</v>
      </c>
      <c r="IP14" s="426">
        <v>0.54513888888888895</v>
      </c>
      <c r="IQ14" s="408">
        <v>45302</v>
      </c>
      <c r="IR14" s="385">
        <v>60</v>
      </c>
      <c r="IS14" s="385">
        <v>41</v>
      </c>
      <c r="IT14" s="385">
        <v>0</v>
      </c>
      <c r="IU14" s="385">
        <v>7415</v>
      </c>
      <c r="IV14" s="385"/>
      <c r="IX14" s="585" t="str">
        <f>+IX7</f>
        <v>DYNAPAC</v>
      </c>
      <c r="IY14" s="586">
        <v>0.29166666666666669</v>
      </c>
      <c r="IZ14" s="587">
        <v>45600</v>
      </c>
      <c r="JA14" s="588">
        <v>16</v>
      </c>
      <c r="JB14" s="585"/>
      <c r="JC14" s="585"/>
      <c r="JD14" s="589">
        <v>7768</v>
      </c>
      <c r="JE14" s="589"/>
      <c r="JF14" s="589" t="s">
        <v>425</v>
      </c>
      <c r="JG14" s="590"/>
      <c r="JH14" s="590"/>
      <c r="JI14" s="590"/>
      <c r="JJ14" s="579"/>
      <c r="JK14" s="580" t="s">
        <v>328</v>
      </c>
      <c r="JL14" s="426">
        <v>0.47499999999999998</v>
      </c>
      <c r="JM14" s="408">
        <v>45749</v>
      </c>
      <c r="JN14" s="385">
        <v>23</v>
      </c>
      <c r="JO14" s="385">
        <v>4010</v>
      </c>
      <c r="JP14" s="407"/>
      <c r="JQ14" s="385">
        <v>9286</v>
      </c>
      <c r="JR14" s="385"/>
      <c r="JS14" s="385" t="s">
        <v>371</v>
      </c>
      <c r="JW14" s="399" t="s">
        <v>293</v>
      </c>
      <c r="JX14" s="426">
        <v>0.54166666666666663</v>
      </c>
      <c r="JY14" s="408">
        <v>45366</v>
      </c>
      <c r="JZ14" s="385">
        <v>48</v>
      </c>
      <c r="KA14" s="385">
        <v>0</v>
      </c>
      <c r="KB14" s="385">
        <v>0</v>
      </c>
      <c r="KC14" s="591">
        <v>5151</v>
      </c>
      <c r="KD14" s="591"/>
      <c r="KE14" s="591" t="s">
        <v>323</v>
      </c>
      <c r="KW14" s="385"/>
      <c r="KX14" s="421"/>
      <c r="KY14" s="452"/>
      <c r="KZ14" s="452"/>
      <c r="LA14" s="402" t="e">
        <f t="shared" si="15"/>
        <v>#DIV/0!</v>
      </c>
      <c r="LB14" s="453"/>
      <c r="LD14" s="385"/>
      <c r="LE14" s="421"/>
      <c r="LF14" s="452"/>
      <c r="LG14" s="452"/>
      <c r="LH14" s="402" t="e">
        <f t="shared" si="16"/>
        <v>#DIV/0!</v>
      </c>
      <c r="LI14" s="453"/>
      <c r="LS14" s="592"/>
      <c r="LT14" s="593"/>
      <c r="LU14" s="594">
        <v>0</v>
      </c>
      <c r="LV14" s="595">
        <v>0</v>
      </c>
      <c r="LW14" s="593">
        <v>0</v>
      </c>
      <c r="LX14" s="596"/>
    </row>
    <row r="15" spans="2:337" ht="15.75" customHeight="1" x14ac:dyDescent="0.25">
      <c r="B15" s="467" t="s">
        <v>369</v>
      </c>
      <c r="C15" s="467"/>
      <c r="D15" s="421">
        <v>45929</v>
      </c>
      <c r="E15" s="452">
        <v>50</v>
      </c>
      <c r="F15" s="452"/>
      <c r="G15" s="452">
        <v>10913</v>
      </c>
      <c r="H15" s="452" t="s">
        <v>304</v>
      </c>
      <c r="K15" s="354"/>
      <c r="L15" s="354"/>
      <c r="M15" s="354"/>
      <c r="N15" s="354"/>
      <c r="O15" s="354"/>
      <c r="Q15" s="409" t="s">
        <v>427</v>
      </c>
      <c r="R15" s="426">
        <v>0.63194444444444442</v>
      </c>
      <c r="S15" s="408">
        <v>45776</v>
      </c>
      <c r="T15" s="385">
        <v>37</v>
      </c>
      <c r="U15" s="385">
        <v>511</v>
      </c>
      <c r="V15" s="565">
        <f t="shared" si="23"/>
        <v>1.7666666666666666</v>
      </c>
      <c r="W15" s="385">
        <v>9618</v>
      </c>
      <c r="X15" s="385" t="s">
        <v>308</v>
      </c>
      <c r="Y15" s="385" t="s">
        <v>371</v>
      </c>
      <c r="Z15" s="385"/>
      <c r="AB15" s="442" t="s">
        <v>283</v>
      </c>
      <c r="AC15" s="426">
        <v>0.64930555555555558</v>
      </c>
      <c r="AD15" s="408">
        <v>46076</v>
      </c>
      <c r="AE15" s="385">
        <v>95</v>
      </c>
      <c r="AF15" s="539">
        <v>4881</v>
      </c>
      <c r="AG15" s="389">
        <f t="shared" si="8"/>
        <v>51</v>
      </c>
      <c r="AH15" s="385">
        <v>9748</v>
      </c>
      <c r="AI15" s="385" t="s">
        <v>406</v>
      </c>
      <c r="AJ15" s="385" t="s">
        <v>383</v>
      </c>
      <c r="AK15" s="354"/>
      <c r="AM15" s="597" t="s">
        <v>432</v>
      </c>
      <c r="AN15" s="598">
        <f>AN16+250</f>
        <v>7317</v>
      </c>
      <c r="AO15" s="354"/>
      <c r="AP15" s="354"/>
      <c r="AQ15" s="354"/>
      <c r="AR15" s="354"/>
      <c r="AS15" s="354"/>
      <c r="AT15" s="354"/>
      <c r="AU15" s="354"/>
      <c r="AV15" s="354"/>
      <c r="AX15" s="442" t="s">
        <v>339</v>
      </c>
      <c r="AY15" s="426">
        <v>0.60763888888888884</v>
      </c>
      <c r="AZ15" s="408">
        <v>45992</v>
      </c>
      <c r="BA15" s="444">
        <v>100</v>
      </c>
      <c r="BB15" s="427">
        <v>3581</v>
      </c>
      <c r="BC15" s="427">
        <f t="shared" si="1"/>
        <v>21</v>
      </c>
      <c r="BD15" s="385">
        <v>11267</v>
      </c>
      <c r="BE15" s="385"/>
      <c r="BF15" s="385" t="s">
        <v>389</v>
      </c>
      <c r="BG15" s="470"/>
      <c r="BH15" s="355"/>
      <c r="BI15" s="355"/>
      <c r="BK15" s="385"/>
      <c r="BL15" s="385"/>
      <c r="BM15" s="387">
        <v>45068</v>
      </c>
      <c r="BN15" s="388">
        <v>40</v>
      </c>
      <c r="BO15" s="385">
        <v>7946</v>
      </c>
      <c r="BP15" s="407">
        <f t="shared" si="9"/>
        <v>0.11</v>
      </c>
      <c r="BQ15" s="440" t="s">
        <v>433</v>
      </c>
      <c r="BR15" s="385"/>
      <c r="BS15" s="385"/>
      <c r="BT15" s="385"/>
      <c r="BU15" s="355"/>
      <c r="BV15" s="472"/>
      <c r="BW15" s="439"/>
      <c r="BX15" s="446">
        <v>45030</v>
      </c>
      <c r="BY15" s="422">
        <v>118</v>
      </c>
      <c r="BZ15" s="423">
        <v>8729</v>
      </c>
      <c r="CA15" s="447">
        <f t="shared" si="10"/>
        <v>0.24096385542168675</v>
      </c>
      <c r="CB15" s="385"/>
      <c r="CC15" s="385"/>
      <c r="CD15" s="385"/>
      <c r="CG15" s="385"/>
      <c r="CH15" s="426">
        <v>0.34027777777777773</v>
      </c>
      <c r="CI15" s="408">
        <v>45145</v>
      </c>
      <c r="CJ15" s="385">
        <v>141</v>
      </c>
      <c r="CK15" s="385">
        <v>216</v>
      </c>
      <c r="CL15" s="389">
        <f t="shared" si="17"/>
        <v>0.17924528301886791</v>
      </c>
      <c r="CM15" s="348">
        <v>3406</v>
      </c>
      <c r="CN15" s="385"/>
      <c r="CO15" s="385"/>
      <c r="CS15" s="451">
        <v>0.62916666666666665</v>
      </c>
      <c r="CT15" s="421">
        <v>45400</v>
      </c>
      <c r="CU15" s="452">
        <v>234</v>
      </c>
      <c r="CV15" s="452">
        <v>56826</v>
      </c>
      <c r="CW15" s="391"/>
      <c r="CX15" s="452">
        <v>5452</v>
      </c>
      <c r="CY15" s="385" t="s">
        <v>346</v>
      </c>
      <c r="CZ15" s="385" t="s">
        <v>375</v>
      </c>
      <c r="DC15" s="355"/>
      <c r="DD15" s="426">
        <v>0.3972222222222222</v>
      </c>
      <c r="DE15" s="408">
        <v>45415</v>
      </c>
      <c r="DF15" s="388">
        <v>192</v>
      </c>
      <c r="DG15" s="385">
        <v>54</v>
      </c>
      <c r="DH15" s="449">
        <f t="shared" si="11"/>
        <v>0.62790697674418605</v>
      </c>
      <c r="DI15" s="385">
        <v>5577</v>
      </c>
      <c r="DJ15" s="385"/>
      <c r="DK15" s="468"/>
      <c r="DL15" s="385"/>
      <c r="DM15" s="355"/>
      <c r="DN15" s="399" t="s">
        <v>60</v>
      </c>
      <c r="DO15" s="426"/>
      <c r="DP15" s="408">
        <v>45454</v>
      </c>
      <c r="DQ15" s="385">
        <v>222</v>
      </c>
      <c r="DR15" s="385">
        <v>283</v>
      </c>
      <c r="DS15" s="402">
        <f t="shared" si="2"/>
        <v>1.3349056603773586</v>
      </c>
      <c r="DT15" s="385">
        <v>3789</v>
      </c>
      <c r="DU15" s="402" t="s">
        <v>308</v>
      </c>
      <c r="DV15" s="385" t="s">
        <v>390</v>
      </c>
      <c r="DW15" s="578"/>
      <c r="DX15" s="599" t="str">
        <f t="shared" si="24"/>
        <v>EX14 KOMATSU PC200</v>
      </c>
      <c r="DY15" s="547">
        <v>0.66736111111111107</v>
      </c>
      <c r="DZ15" s="577">
        <v>45589</v>
      </c>
      <c r="EA15" s="546">
        <v>230</v>
      </c>
      <c r="EB15" s="546">
        <v>311.89999999999998</v>
      </c>
      <c r="EC15" s="549">
        <f t="shared" si="3"/>
        <v>0.21822660098522145</v>
      </c>
      <c r="ED15" s="546">
        <v>7575</v>
      </c>
      <c r="EE15" s="546" t="str">
        <f t="shared" si="25"/>
        <v>CARLOS M</v>
      </c>
      <c r="EF15" s="546" t="str">
        <f t="shared" si="25"/>
        <v xml:space="preserve">Portal </v>
      </c>
      <c r="EG15" s="546" t="str">
        <f t="shared" si="25"/>
        <v>nissan</v>
      </c>
      <c r="EH15" s="355"/>
      <c r="EI15" s="355"/>
      <c r="EJ15" s="409" t="s">
        <v>376</v>
      </c>
      <c r="EK15" s="426">
        <v>0.4465277777777778</v>
      </c>
      <c r="EL15" s="408">
        <v>45969</v>
      </c>
      <c r="EM15" s="388">
        <v>17</v>
      </c>
      <c r="EN15" s="385">
        <v>1072</v>
      </c>
      <c r="EO15" s="427">
        <f t="shared" si="12"/>
        <v>18</v>
      </c>
      <c r="EP15" s="385">
        <v>11049</v>
      </c>
      <c r="EQ15" s="385" t="s">
        <v>173</v>
      </c>
      <c r="ER15" s="385" t="s">
        <v>304</v>
      </c>
      <c r="ES15" s="385"/>
      <c r="ET15" s="355"/>
      <c r="EW15" s="385"/>
      <c r="EX15" s="385"/>
      <c r="EY15" s="387">
        <v>45058</v>
      </c>
      <c r="EZ15" s="388">
        <v>60</v>
      </c>
      <c r="FA15" s="385">
        <v>4874.5</v>
      </c>
      <c r="FB15" s="407">
        <f t="shared" si="13"/>
        <v>1.6216216216216217</v>
      </c>
      <c r="FC15" s="385"/>
      <c r="FD15" s="385"/>
      <c r="FE15" s="385"/>
      <c r="FG15" s="409" t="s">
        <v>289</v>
      </c>
      <c r="FH15" s="426">
        <v>0.50694444444444442</v>
      </c>
      <c r="FI15" s="408">
        <v>45791</v>
      </c>
      <c r="FJ15" s="385">
        <v>87</v>
      </c>
      <c r="FK15" s="385">
        <v>187</v>
      </c>
      <c r="FL15" s="407">
        <f t="shared" si="19"/>
        <v>0.54</v>
      </c>
      <c r="FM15" s="385">
        <v>9323</v>
      </c>
      <c r="FN15" s="385" t="s">
        <v>117</v>
      </c>
      <c r="FO15" s="385" t="s">
        <v>434</v>
      </c>
      <c r="FP15" s="385"/>
      <c r="FR15" s="509" t="s">
        <v>288</v>
      </c>
      <c r="FS15" s="426"/>
      <c r="FT15" s="408">
        <v>45370</v>
      </c>
      <c r="FU15" s="388">
        <v>85</v>
      </c>
      <c r="FV15" s="385">
        <v>2109</v>
      </c>
      <c r="FW15" s="407">
        <f t="shared" si="4"/>
        <v>0.51086956521739135</v>
      </c>
      <c r="FX15" s="385">
        <v>5166</v>
      </c>
      <c r="FY15" s="385" t="s">
        <v>419</v>
      </c>
      <c r="FZ15" s="385"/>
      <c r="GB15" s="415" t="s">
        <v>319</v>
      </c>
      <c r="GC15" s="478">
        <v>0.44166666666666665</v>
      </c>
      <c r="GD15" s="479">
        <v>45779</v>
      </c>
      <c r="GE15" s="480">
        <v>30</v>
      </c>
      <c r="GF15" s="480">
        <v>4079</v>
      </c>
      <c r="GG15" s="402">
        <f>(GF15-GF14)/GE14</f>
        <v>0.84090909090909094</v>
      </c>
      <c r="GH15" s="452">
        <v>9223</v>
      </c>
      <c r="GI15" s="480" t="s">
        <v>435</v>
      </c>
      <c r="GJ15" s="480" t="s">
        <v>396</v>
      </c>
      <c r="GK15" s="453" t="s">
        <v>436</v>
      </c>
      <c r="GM15" s="419" t="s">
        <v>321</v>
      </c>
      <c r="GN15" s="600">
        <v>0.47708333333333336</v>
      </c>
      <c r="GO15" s="601">
        <v>45675</v>
      </c>
      <c r="GP15" s="377">
        <v>68</v>
      </c>
      <c r="GQ15" s="377"/>
      <c r="GR15" s="602">
        <f t="shared" si="26"/>
        <v>-70.650000000000006</v>
      </c>
      <c r="GS15" s="377"/>
      <c r="GT15" s="377"/>
      <c r="GU15" s="377"/>
      <c r="GX15" s="419" t="s">
        <v>290</v>
      </c>
      <c r="GY15" s="545">
        <v>0.34027777777777779</v>
      </c>
      <c r="GZ15" s="530">
        <v>45647</v>
      </c>
      <c r="HA15" s="531">
        <v>59</v>
      </c>
      <c r="HB15" s="531">
        <v>0</v>
      </c>
      <c r="HC15" s="532">
        <f t="shared" si="20"/>
        <v>0</v>
      </c>
      <c r="HD15" s="531">
        <v>8074</v>
      </c>
      <c r="HE15" s="531">
        <v>0</v>
      </c>
      <c r="HF15" s="531">
        <v>0</v>
      </c>
      <c r="HI15" s="491">
        <v>0.48472222222222222</v>
      </c>
      <c r="HJ15" s="513">
        <v>46101</v>
      </c>
      <c r="HK15" s="493">
        <v>41</v>
      </c>
      <c r="HL15" s="469">
        <v>2688</v>
      </c>
      <c r="HM15" s="584">
        <f t="shared" si="5"/>
        <v>9</v>
      </c>
      <c r="HN15" s="469">
        <v>12783</v>
      </c>
      <c r="HO15" s="469"/>
      <c r="HP15" s="469" t="s">
        <v>383</v>
      </c>
      <c r="HT15" s="531" t="str">
        <f t="shared" si="22"/>
        <v>HAMM 02</v>
      </c>
      <c r="HU15" s="545">
        <v>0.25</v>
      </c>
      <c r="HV15" s="530">
        <v>45652</v>
      </c>
      <c r="HW15" s="531">
        <v>10</v>
      </c>
      <c r="HX15" s="531">
        <v>0</v>
      </c>
      <c r="HY15" s="531"/>
      <c r="HZ15" s="531">
        <v>9152</v>
      </c>
      <c r="IA15" s="531"/>
      <c r="IB15" s="531"/>
      <c r="IO15" s="386" t="s">
        <v>326</v>
      </c>
      <c r="IP15" s="426"/>
      <c r="IQ15" s="408">
        <v>45521</v>
      </c>
      <c r="IR15" s="385">
        <v>26</v>
      </c>
      <c r="IS15" s="385">
        <v>0</v>
      </c>
      <c r="IT15" s="385">
        <v>0</v>
      </c>
      <c r="IU15" s="385">
        <v>8557</v>
      </c>
      <c r="IV15" s="385"/>
      <c r="IX15" s="603" t="str">
        <f>+IX14</f>
        <v>DYNAPAC</v>
      </c>
      <c r="IY15" s="604">
        <v>0.59236111111111112</v>
      </c>
      <c r="IZ15" s="605">
        <v>45604</v>
      </c>
      <c r="JA15" s="603">
        <v>19</v>
      </c>
      <c r="JB15" s="603">
        <v>0</v>
      </c>
      <c r="JC15" s="603"/>
      <c r="JD15" s="603">
        <v>7299</v>
      </c>
      <c r="JE15" s="603"/>
      <c r="JF15" s="590" t="str">
        <f>+JF14</f>
        <v>PILARES</v>
      </c>
      <c r="JG15" s="590"/>
      <c r="JH15" s="590"/>
      <c r="JI15" s="590"/>
      <c r="JK15" s="419" t="s">
        <v>328</v>
      </c>
      <c r="JL15" s="426"/>
      <c r="JM15" s="408">
        <v>45768</v>
      </c>
      <c r="JN15" s="385">
        <v>14</v>
      </c>
      <c r="JO15" s="385">
        <v>4014</v>
      </c>
      <c r="JP15" s="606">
        <f t="shared" ref="JP15:JP21" si="27">JO15-JO14</f>
        <v>4</v>
      </c>
      <c r="JQ15" s="385">
        <v>9528</v>
      </c>
      <c r="JR15" s="385"/>
      <c r="JS15" s="506" t="s">
        <v>437</v>
      </c>
      <c r="JW15" s="399" t="s">
        <v>293</v>
      </c>
      <c r="JX15" s="426">
        <v>0.34375</v>
      </c>
      <c r="JY15" s="408">
        <v>45380</v>
      </c>
      <c r="JZ15" s="385">
        <v>70</v>
      </c>
      <c r="KA15" s="385">
        <v>0</v>
      </c>
      <c r="KB15" s="385">
        <v>0</v>
      </c>
      <c r="KC15" s="591">
        <v>8478</v>
      </c>
      <c r="KD15" s="591"/>
      <c r="KE15" s="591" t="s">
        <v>323</v>
      </c>
      <c r="KW15" s="385"/>
      <c r="KX15" s="408"/>
      <c r="KY15" s="385"/>
      <c r="KZ15" s="385"/>
      <c r="LA15" s="407" t="e">
        <f t="shared" si="15"/>
        <v>#DIV/0!</v>
      </c>
      <c r="LD15" s="385"/>
      <c r="LE15" s="408"/>
      <c r="LF15" s="385"/>
      <c r="LG15" s="385"/>
      <c r="LH15" s="407" t="e">
        <f t="shared" si="16"/>
        <v>#DIV/0!</v>
      </c>
    </row>
    <row r="16" spans="2:337" ht="15.75" customHeight="1" x14ac:dyDescent="0.25">
      <c r="B16" s="467" t="s">
        <v>369</v>
      </c>
      <c r="C16" s="467"/>
      <c r="D16" s="421">
        <v>45939</v>
      </c>
      <c r="E16" s="452">
        <v>46</v>
      </c>
      <c r="F16" s="452"/>
      <c r="G16" s="452">
        <v>10863</v>
      </c>
      <c r="H16" s="452" t="s">
        <v>304</v>
      </c>
      <c r="K16" s="354"/>
      <c r="L16" s="354"/>
      <c r="M16" s="354"/>
      <c r="N16" s="354"/>
      <c r="O16" s="354"/>
      <c r="Q16" s="409" t="s">
        <v>427</v>
      </c>
      <c r="R16" s="451">
        <v>0.60416666666666663</v>
      </c>
      <c r="S16" s="421">
        <v>45782</v>
      </c>
      <c r="T16" s="452">
        <v>25</v>
      </c>
      <c r="U16" s="452">
        <v>537</v>
      </c>
      <c r="V16" s="565">
        <f t="shared" si="23"/>
        <v>1.3255813953488371</v>
      </c>
      <c r="W16" s="452">
        <v>9665</v>
      </c>
      <c r="X16" s="452" t="s">
        <v>308</v>
      </c>
      <c r="Y16" s="452" t="s">
        <v>371</v>
      </c>
      <c r="Z16" s="452"/>
      <c r="AB16" s="354"/>
      <c r="AC16" s="426">
        <v>0.78194444444444444</v>
      </c>
      <c r="AD16" s="408">
        <v>46079</v>
      </c>
      <c r="AE16" s="385">
        <v>105</v>
      </c>
      <c r="AF16" s="539">
        <v>4906</v>
      </c>
      <c r="AG16" s="389">
        <f t="shared" si="8"/>
        <v>25</v>
      </c>
      <c r="AH16" s="385">
        <v>13323</v>
      </c>
      <c r="AI16" s="385" t="s">
        <v>406</v>
      </c>
      <c r="AJ16" s="385" t="s">
        <v>383</v>
      </c>
      <c r="AK16" s="354"/>
      <c r="AM16" s="607" t="s">
        <v>438</v>
      </c>
      <c r="AN16" s="598">
        <v>7067</v>
      </c>
      <c r="AO16" s="354"/>
      <c r="AP16" s="354"/>
      <c r="AQ16" s="354"/>
      <c r="AR16" s="354"/>
      <c r="AS16" s="354"/>
      <c r="AT16" s="354"/>
      <c r="AU16" s="354"/>
      <c r="AV16" s="354"/>
      <c r="AX16" s="442" t="s">
        <v>339</v>
      </c>
      <c r="AY16" s="426">
        <v>0.38680555555555557</v>
      </c>
      <c r="AZ16" s="408">
        <v>45999</v>
      </c>
      <c r="BA16" s="444">
        <v>267</v>
      </c>
      <c r="BB16" s="608">
        <v>3581</v>
      </c>
      <c r="BC16" s="427">
        <f t="shared" si="1"/>
        <v>0</v>
      </c>
      <c r="BD16" s="385">
        <v>11206</v>
      </c>
      <c r="BE16" s="385"/>
      <c r="BF16" s="385" t="s">
        <v>439</v>
      </c>
      <c r="BG16" s="470" t="s">
        <v>440</v>
      </c>
      <c r="BH16" s="355"/>
      <c r="BI16" s="355"/>
      <c r="BK16" s="385"/>
      <c r="BL16" s="385"/>
      <c r="BM16" s="387">
        <v>45071</v>
      </c>
      <c r="BN16" s="388">
        <v>88</v>
      </c>
      <c r="BO16" s="385">
        <v>7960</v>
      </c>
      <c r="BP16" s="407">
        <f t="shared" si="9"/>
        <v>0.35</v>
      </c>
      <c r="BQ16" s="440" t="s">
        <v>441</v>
      </c>
      <c r="BR16" s="385"/>
      <c r="BS16" s="385"/>
      <c r="BT16" s="385"/>
      <c r="BU16" s="355"/>
      <c r="BV16" s="472"/>
      <c r="BW16" s="439"/>
      <c r="BX16" s="446">
        <v>45033</v>
      </c>
      <c r="BY16" s="422">
        <v>71</v>
      </c>
      <c r="BZ16" s="423">
        <v>8746</v>
      </c>
      <c r="CA16" s="447">
        <f t="shared" si="10"/>
        <v>0.1440677966101695</v>
      </c>
      <c r="CB16" s="385"/>
      <c r="CC16" s="385"/>
      <c r="CD16" s="385"/>
      <c r="CG16" s="385"/>
      <c r="CH16" s="426">
        <v>0.65625</v>
      </c>
      <c r="CI16" s="408">
        <v>45160</v>
      </c>
      <c r="CJ16" s="385">
        <v>160</v>
      </c>
      <c r="CK16" s="385">
        <v>245</v>
      </c>
      <c r="CL16" s="389">
        <f t="shared" si="17"/>
        <v>0.20567375886524822</v>
      </c>
      <c r="CM16" s="348">
        <v>6649</v>
      </c>
      <c r="CN16" s="385"/>
      <c r="CO16" s="448"/>
      <c r="CR16" s="399" t="s">
        <v>310</v>
      </c>
      <c r="CS16" s="426">
        <v>0.62013888888888891</v>
      </c>
      <c r="CT16" s="408">
        <v>45404</v>
      </c>
      <c r="CU16" s="385">
        <v>211</v>
      </c>
      <c r="CV16" s="385">
        <v>5702</v>
      </c>
      <c r="CW16" s="429"/>
      <c r="CX16" s="385">
        <v>5484</v>
      </c>
      <c r="CY16" s="385" t="s">
        <v>346</v>
      </c>
      <c r="CZ16" s="385" t="s">
        <v>375</v>
      </c>
      <c r="DC16" s="355"/>
      <c r="DD16" s="451">
        <v>0.6743055555555556</v>
      </c>
      <c r="DE16" s="421">
        <v>45415</v>
      </c>
      <c r="DF16" s="474">
        <v>30</v>
      </c>
      <c r="DG16" s="452">
        <v>5730.7</v>
      </c>
      <c r="DH16" s="475"/>
      <c r="DI16" s="452">
        <v>5586</v>
      </c>
      <c r="DJ16" s="452"/>
      <c r="DK16" s="609" t="s">
        <v>323</v>
      </c>
      <c r="DL16" s="452"/>
      <c r="DM16" s="355"/>
      <c r="DN16" s="355"/>
      <c r="DO16" s="451">
        <v>0.49027777777777776</v>
      </c>
      <c r="DP16" s="421">
        <v>45457</v>
      </c>
      <c r="DQ16" s="452">
        <v>140</v>
      </c>
      <c r="DR16" s="452">
        <v>305</v>
      </c>
      <c r="DS16" s="402">
        <f t="shared" si="2"/>
        <v>9.90990990990991E-2</v>
      </c>
      <c r="DT16" s="452">
        <v>3970</v>
      </c>
      <c r="DU16" s="402" t="s">
        <v>308</v>
      </c>
      <c r="DV16" s="452" t="s">
        <v>390</v>
      </c>
      <c r="DW16" s="578" t="s">
        <v>442</v>
      </c>
      <c r="DX16" s="583" t="str">
        <f t="shared" si="24"/>
        <v>EX14 KOMATSU PC200</v>
      </c>
      <c r="DY16" s="547">
        <v>0.63194444444444442</v>
      </c>
      <c r="DZ16" s="577">
        <v>45596</v>
      </c>
      <c r="EA16" s="546">
        <v>175</v>
      </c>
      <c r="EB16" s="546">
        <v>0</v>
      </c>
      <c r="EC16" s="549">
        <f t="shared" si="3"/>
        <v>-1.3560869565217391</v>
      </c>
      <c r="ED16" s="546">
        <v>7049</v>
      </c>
      <c r="EE16" s="546" t="str">
        <f t="shared" si="25"/>
        <v>CARLOS M</v>
      </c>
      <c r="EF16" s="546" t="str">
        <f t="shared" si="25"/>
        <v xml:space="preserve">Portal </v>
      </c>
      <c r="EG16" s="546" t="str">
        <f t="shared" si="25"/>
        <v>nissan</v>
      </c>
      <c r="EH16" s="355"/>
      <c r="EI16" s="355"/>
      <c r="EK16" s="426">
        <v>0.52013888888888893</v>
      </c>
      <c r="EL16" s="408">
        <v>45971</v>
      </c>
      <c r="EM16" s="388">
        <v>88</v>
      </c>
      <c r="EN16" s="385">
        <v>1078</v>
      </c>
      <c r="EO16" s="427">
        <f t="shared" si="12"/>
        <v>6</v>
      </c>
      <c r="EP16" s="385">
        <v>11154</v>
      </c>
      <c r="EQ16" s="385" t="s">
        <v>173</v>
      </c>
      <c r="ER16" s="385" t="s">
        <v>304</v>
      </c>
      <c r="ES16" s="385"/>
      <c r="ET16" s="355"/>
      <c r="EW16" s="385"/>
      <c r="EX16" s="385"/>
      <c r="EY16" s="387">
        <v>45061</v>
      </c>
      <c r="EZ16" s="388">
        <v>48</v>
      </c>
      <c r="FA16" s="385">
        <v>4923</v>
      </c>
      <c r="FB16" s="407">
        <f t="shared" si="13"/>
        <v>0.80833333333333335</v>
      </c>
      <c r="FC16" s="385" t="s">
        <v>443</v>
      </c>
      <c r="FD16" s="385"/>
      <c r="FE16" s="385"/>
      <c r="FH16" s="426">
        <v>0.375</v>
      </c>
      <c r="FI16" s="408">
        <v>45793</v>
      </c>
      <c r="FJ16" s="385">
        <v>37</v>
      </c>
      <c r="FK16" s="385"/>
      <c r="FL16" s="407">
        <f t="shared" si="19"/>
        <v>-2.1494252873563218</v>
      </c>
      <c r="FM16" s="385">
        <v>9341</v>
      </c>
      <c r="FN16" s="385" t="s">
        <v>444</v>
      </c>
      <c r="FO16" s="385" t="s">
        <v>434</v>
      </c>
      <c r="FP16" s="385"/>
      <c r="FR16" s="509" t="s">
        <v>288</v>
      </c>
      <c r="FS16" s="385"/>
      <c r="FT16" s="408">
        <v>45373</v>
      </c>
      <c r="FU16" s="385">
        <v>73</v>
      </c>
      <c r="FV16" s="385">
        <v>2126.8000000000002</v>
      </c>
      <c r="FW16" s="407">
        <f t="shared" si="4"/>
        <v>0.20941176470588449</v>
      </c>
      <c r="FX16" s="385">
        <v>5193</v>
      </c>
      <c r="FY16" s="385" t="s">
        <v>419</v>
      </c>
      <c r="GB16" s="415" t="s">
        <v>319</v>
      </c>
      <c r="GC16" s="416">
        <v>0.38263888888888886</v>
      </c>
      <c r="GD16" s="417">
        <v>45868</v>
      </c>
      <c r="GE16" s="418">
        <v>51</v>
      </c>
      <c r="GF16" s="418">
        <v>4096</v>
      </c>
      <c r="GG16" s="429">
        <f>GF16-GF15</f>
        <v>17</v>
      </c>
      <c r="GH16" s="385">
        <v>9887</v>
      </c>
      <c r="GI16" s="418" t="s">
        <v>435</v>
      </c>
      <c r="GJ16" s="418" t="s">
        <v>149</v>
      </c>
      <c r="GK16" s="348" t="s">
        <v>445</v>
      </c>
      <c r="GM16" s="419" t="s">
        <v>321</v>
      </c>
      <c r="GN16" s="426"/>
      <c r="GO16" s="408">
        <v>45686</v>
      </c>
      <c r="GP16" s="385">
        <v>25</v>
      </c>
      <c r="GQ16" s="440">
        <v>4951</v>
      </c>
      <c r="GR16" s="407">
        <f t="shared" si="26"/>
        <v>72.808823529411768</v>
      </c>
      <c r="GS16" s="610">
        <v>8308</v>
      </c>
      <c r="GT16" s="385" t="s">
        <v>436</v>
      </c>
      <c r="GU16" s="385"/>
      <c r="GX16" s="419" t="s">
        <v>290</v>
      </c>
      <c r="GY16" s="545">
        <v>0.59166666666666667</v>
      </c>
      <c r="GZ16" s="530">
        <v>45653</v>
      </c>
      <c r="HA16" s="531">
        <v>20</v>
      </c>
      <c r="HB16" s="441">
        <v>2933</v>
      </c>
      <c r="HC16" s="532">
        <f t="shared" si="20"/>
        <v>49.711864406779661</v>
      </c>
      <c r="HD16" s="531">
        <v>8112</v>
      </c>
      <c r="HE16" s="531" t="s">
        <v>149</v>
      </c>
      <c r="HF16" s="531" t="s">
        <v>149</v>
      </c>
      <c r="HG16" s="441" t="s">
        <v>446</v>
      </c>
      <c r="HT16" s="531" t="str">
        <f t="shared" si="22"/>
        <v>HAMM 02</v>
      </c>
      <c r="HU16" s="545">
        <v>0.65347222222222223</v>
      </c>
      <c r="HV16" s="530">
        <v>45660</v>
      </c>
      <c r="HW16" s="531">
        <v>27</v>
      </c>
      <c r="HX16" s="531">
        <v>1186</v>
      </c>
      <c r="HY16" s="531"/>
      <c r="HZ16" s="531">
        <v>12033</v>
      </c>
      <c r="IA16" s="531"/>
      <c r="IB16" s="531"/>
      <c r="IO16" s="386" t="s">
        <v>326</v>
      </c>
      <c r="IP16" s="451"/>
      <c r="IQ16" s="421">
        <v>45531</v>
      </c>
      <c r="IR16" s="452">
        <v>30</v>
      </c>
      <c r="IS16" s="452">
        <v>0</v>
      </c>
      <c r="IT16" s="452">
        <v>0</v>
      </c>
      <c r="IU16" s="452">
        <v>6591</v>
      </c>
      <c r="IV16" s="539" t="s">
        <v>417</v>
      </c>
      <c r="IX16" s="603" t="str">
        <f>+IX15</f>
        <v>DYNAPAC</v>
      </c>
      <c r="IY16" s="604">
        <v>0.38680555555555557</v>
      </c>
      <c r="IZ16" s="605">
        <v>45622</v>
      </c>
      <c r="JA16" s="603">
        <v>16</v>
      </c>
      <c r="JB16" s="603">
        <v>0</v>
      </c>
      <c r="JC16" s="603"/>
      <c r="JD16" s="603">
        <v>7916</v>
      </c>
      <c r="JE16" s="603"/>
      <c r="JF16" s="590" t="str">
        <f>+JF15</f>
        <v>PILARES</v>
      </c>
      <c r="JG16" s="590"/>
      <c r="JH16" s="590"/>
      <c r="JI16" s="590"/>
      <c r="JK16" s="419" t="s">
        <v>328</v>
      </c>
      <c r="JL16" s="426">
        <v>0.44027777777777777</v>
      </c>
      <c r="JM16" s="408">
        <v>45783</v>
      </c>
      <c r="JN16" s="385">
        <v>36</v>
      </c>
      <c r="JO16" s="385">
        <v>4023</v>
      </c>
      <c r="JP16" s="606">
        <f t="shared" si="27"/>
        <v>9</v>
      </c>
      <c r="JQ16" s="385">
        <v>9528</v>
      </c>
      <c r="JR16" s="385" t="s">
        <v>67</v>
      </c>
      <c r="JS16" s="506" t="s">
        <v>437</v>
      </c>
      <c r="JW16" s="399" t="s">
        <v>293</v>
      </c>
      <c r="JX16" s="426">
        <v>0.6875</v>
      </c>
      <c r="JY16" s="408">
        <v>45387</v>
      </c>
      <c r="JZ16" s="385">
        <v>40</v>
      </c>
      <c r="KA16" s="385">
        <v>0</v>
      </c>
      <c r="KB16" s="385">
        <v>0</v>
      </c>
      <c r="KC16" s="591">
        <v>5658</v>
      </c>
      <c r="KD16" s="591"/>
      <c r="KE16" s="591" t="s">
        <v>323</v>
      </c>
      <c r="KW16" s="385"/>
      <c r="KX16" s="408"/>
      <c r="KY16" s="385"/>
      <c r="KZ16" s="385"/>
      <c r="LA16" s="407" t="e">
        <f t="shared" si="15"/>
        <v>#DIV/0!</v>
      </c>
      <c r="LD16" s="385"/>
      <c r="LE16" s="408"/>
      <c r="LF16" s="385"/>
      <c r="LG16" s="385"/>
      <c r="LH16" s="407" t="e">
        <f t="shared" si="16"/>
        <v>#DIV/0!</v>
      </c>
    </row>
    <row r="17" spans="2:321" ht="15.75" customHeight="1" x14ac:dyDescent="0.25">
      <c r="B17" s="467" t="s">
        <v>369</v>
      </c>
      <c r="C17" s="467"/>
      <c r="D17" s="421">
        <v>45953</v>
      </c>
      <c r="E17" s="452">
        <v>28</v>
      </c>
      <c r="F17" s="452"/>
      <c r="G17" s="452">
        <v>11578</v>
      </c>
      <c r="H17" s="452" t="s">
        <v>304</v>
      </c>
      <c r="K17" s="354"/>
      <c r="L17" s="354"/>
      <c r="M17" s="354"/>
      <c r="N17" s="354"/>
      <c r="O17" s="354"/>
      <c r="R17" s="451"/>
      <c r="S17" s="421">
        <v>45786</v>
      </c>
      <c r="T17" s="452">
        <v>35</v>
      </c>
      <c r="U17" s="452">
        <v>555</v>
      </c>
      <c r="V17" s="565">
        <f t="shared" si="23"/>
        <v>1.1891891891891893</v>
      </c>
      <c r="W17" s="452">
        <v>9763</v>
      </c>
      <c r="X17" s="452" t="s">
        <v>308</v>
      </c>
      <c r="Y17" s="452" t="s">
        <v>371</v>
      </c>
      <c r="Z17" s="452"/>
      <c r="AB17" s="442" t="s">
        <v>283</v>
      </c>
      <c r="AC17" s="426">
        <v>0.77777777777777779</v>
      </c>
      <c r="AD17" s="408">
        <v>46083</v>
      </c>
      <c r="AE17" s="385">
        <v>101</v>
      </c>
      <c r="AF17" s="471">
        <v>4906</v>
      </c>
      <c r="AG17" s="389">
        <f t="shared" si="8"/>
        <v>0</v>
      </c>
      <c r="AH17" s="385">
        <v>11305</v>
      </c>
      <c r="AI17" s="385" t="s">
        <v>406</v>
      </c>
      <c r="AJ17" s="385" t="s">
        <v>383</v>
      </c>
      <c r="AK17" s="354"/>
      <c r="AM17" s="354"/>
      <c r="AN17" s="354"/>
      <c r="AO17" s="354"/>
      <c r="AP17" s="354"/>
      <c r="AQ17" s="354"/>
      <c r="AR17" s="354"/>
      <c r="AS17" s="354"/>
      <c r="AT17" s="354"/>
      <c r="AU17" s="354"/>
      <c r="AV17" s="354"/>
      <c r="AY17" s="426">
        <v>0.70694444444444449</v>
      </c>
      <c r="AZ17" s="408">
        <v>46003</v>
      </c>
      <c r="BA17" s="444">
        <v>233</v>
      </c>
      <c r="BB17" s="427">
        <v>3600</v>
      </c>
      <c r="BC17" s="427">
        <f t="shared" si="1"/>
        <v>19</v>
      </c>
      <c r="BD17" s="385">
        <v>11241</v>
      </c>
      <c r="BE17" s="385" t="s">
        <v>308</v>
      </c>
      <c r="BF17" s="385" t="s">
        <v>447</v>
      </c>
      <c r="BG17" s="470"/>
      <c r="BH17" s="355"/>
      <c r="BI17" s="355"/>
      <c r="BK17" s="385"/>
      <c r="BL17" s="385"/>
      <c r="BM17" s="387">
        <v>45076</v>
      </c>
      <c r="BN17" s="388">
        <v>96</v>
      </c>
      <c r="BO17" s="385">
        <v>7979</v>
      </c>
      <c r="BP17" s="407">
        <f t="shared" si="9"/>
        <v>0.21590909090909091</v>
      </c>
      <c r="BQ17" s="440" t="s">
        <v>448</v>
      </c>
      <c r="BR17" s="385"/>
      <c r="BS17" s="385"/>
      <c r="BT17" s="385"/>
      <c r="BU17" s="355"/>
      <c r="BV17" s="472"/>
      <c r="BW17" s="439"/>
      <c r="BX17" s="446">
        <v>45035</v>
      </c>
      <c r="BY17" s="422">
        <v>87</v>
      </c>
      <c r="BZ17" s="423">
        <v>8762</v>
      </c>
      <c r="CA17" s="447">
        <f t="shared" si="10"/>
        <v>0.22535211267605634</v>
      </c>
      <c r="CB17" s="385"/>
      <c r="CC17" s="385"/>
      <c r="CD17" s="385"/>
      <c r="CG17" s="611" t="s">
        <v>307</v>
      </c>
      <c r="CH17" s="426">
        <v>0.58333333333333337</v>
      </c>
      <c r="CI17" s="408">
        <v>45166</v>
      </c>
      <c r="CJ17" s="385">
        <v>142</v>
      </c>
      <c r="CK17" s="385">
        <v>271</v>
      </c>
      <c r="CL17" s="389">
        <f t="shared" si="17"/>
        <v>0.16250000000000001</v>
      </c>
      <c r="CM17" s="348">
        <v>6695</v>
      </c>
      <c r="CN17" s="385"/>
      <c r="CO17" s="385"/>
      <c r="CS17" s="426">
        <v>0.64236111111111116</v>
      </c>
      <c r="CT17" s="408">
        <v>45406</v>
      </c>
      <c r="CU17" s="385">
        <v>233</v>
      </c>
      <c r="CV17" s="385">
        <v>5722.7</v>
      </c>
      <c r="CW17" s="429"/>
      <c r="CX17" s="385">
        <v>5508</v>
      </c>
      <c r="CY17" s="385" t="s">
        <v>346</v>
      </c>
      <c r="CZ17" s="385" t="s">
        <v>375</v>
      </c>
      <c r="DC17" s="399" t="s">
        <v>311</v>
      </c>
      <c r="DD17" s="426">
        <v>0.42708333333333331</v>
      </c>
      <c r="DE17" s="408">
        <v>45439</v>
      </c>
      <c r="DF17" s="388">
        <v>61</v>
      </c>
      <c r="DG17" s="385">
        <v>0</v>
      </c>
      <c r="DH17" s="449">
        <f>(DG17-DG16)/DF16</f>
        <v>-191.02333333333334</v>
      </c>
      <c r="DI17" s="385">
        <v>4143</v>
      </c>
      <c r="DJ17" s="348" t="s">
        <v>449</v>
      </c>
      <c r="DK17" s="355" t="s">
        <v>450</v>
      </c>
      <c r="DL17" s="470"/>
      <c r="DM17" s="355"/>
      <c r="DN17" s="399" t="s">
        <v>60</v>
      </c>
      <c r="DO17" s="451">
        <v>0.34583333333333333</v>
      </c>
      <c r="DP17" s="421">
        <v>45460</v>
      </c>
      <c r="DQ17" s="452">
        <v>292</v>
      </c>
      <c r="DR17" s="452">
        <v>314.5</v>
      </c>
      <c r="DS17" s="402">
        <f t="shared" si="2"/>
        <v>6.7857142857142852E-2</v>
      </c>
      <c r="DT17" s="452">
        <v>3982</v>
      </c>
      <c r="DU17" s="402" t="s">
        <v>308</v>
      </c>
      <c r="DV17" s="452" t="s">
        <v>390</v>
      </c>
      <c r="DW17" s="355"/>
      <c r="DX17" s="599" t="str">
        <f t="shared" si="24"/>
        <v>EX14 KOMATSU PC200</v>
      </c>
      <c r="DY17" s="547">
        <v>0.35416666666666669</v>
      </c>
      <c r="DZ17" s="577">
        <v>45600</v>
      </c>
      <c r="EA17" s="546">
        <f>214/2</f>
        <v>107</v>
      </c>
      <c r="EB17" s="546">
        <v>0</v>
      </c>
      <c r="EC17" s="549">
        <f t="shared" si="3"/>
        <v>0</v>
      </c>
      <c r="ED17" s="546">
        <v>6887</v>
      </c>
      <c r="EE17" s="546" t="str">
        <f t="shared" si="25"/>
        <v>CARLOS M</v>
      </c>
      <c r="EF17" s="546" t="str">
        <f>+EF16</f>
        <v xml:space="preserve">Portal </v>
      </c>
      <c r="EG17" s="546" t="str">
        <f>+EG16</f>
        <v>nissan</v>
      </c>
      <c r="EH17" s="355"/>
      <c r="EI17" s="355"/>
      <c r="EK17" s="426">
        <v>0.56944444444444442</v>
      </c>
      <c r="EL17" s="408">
        <v>45973</v>
      </c>
      <c r="EM17" s="388">
        <v>65</v>
      </c>
      <c r="EN17" s="385">
        <v>1090</v>
      </c>
      <c r="EO17" s="427">
        <f t="shared" si="12"/>
        <v>12</v>
      </c>
      <c r="EP17" s="385">
        <v>11168</v>
      </c>
      <c r="EQ17" s="385" t="s">
        <v>173</v>
      </c>
      <c r="ER17" s="385" t="s">
        <v>304</v>
      </c>
      <c r="ES17" s="385"/>
      <c r="ET17" s="355"/>
      <c r="EW17" s="385"/>
      <c r="EX17" s="385"/>
      <c r="EY17" s="387">
        <v>45063</v>
      </c>
      <c r="EZ17" s="388">
        <v>73</v>
      </c>
      <c r="FA17" s="385">
        <v>4971</v>
      </c>
      <c r="FB17" s="407">
        <f t="shared" si="13"/>
        <v>1</v>
      </c>
      <c r="FC17" s="385" t="s">
        <v>451</v>
      </c>
      <c r="FD17" s="385"/>
      <c r="FE17" s="385"/>
      <c r="FH17" s="426">
        <v>0.75</v>
      </c>
      <c r="FI17" s="408">
        <v>45793</v>
      </c>
      <c r="FJ17" s="385">
        <v>70</v>
      </c>
      <c r="FK17" s="385">
        <v>214</v>
      </c>
      <c r="FL17" s="407">
        <f t="shared" si="19"/>
        <v>5.7837837837837842</v>
      </c>
      <c r="FM17" s="385">
        <v>9801</v>
      </c>
      <c r="FN17" s="385" t="s">
        <v>392</v>
      </c>
      <c r="FO17" s="385" t="s">
        <v>434</v>
      </c>
      <c r="FP17" s="385"/>
      <c r="FR17" s="509" t="s">
        <v>288</v>
      </c>
      <c r="FS17" s="426">
        <v>0.34097222222222223</v>
      </c>
      <c r="FT17" s="408">
        <v>45376</v>
      </c>
      <c r="FU17" s="388">
        <v>13</v>
      </c>
      <c r="FV17" s="385">
        <v>2130.5</v>
      </c>
      <c r="FW17" s="407">
        <f t="shared" si="4"/>
        <v>5.0684931506846824E-2</v>
      </c>
      <c r="FX17" s="385">
        <v>7779</v>
      </c>
      <c r="FY17" s="385" t="s">
        <v>419</v>
      </c>
      <c r="FZ17" s="385"/>
      <c r="GB17" s="415" t="s">
        <v>319</v>
      </c>
      <c r="GC17" s="416">
        <v>0.4375</v>
      </c>
      <c r="GD17" s="417">
        <v>45873</v>
      </c>
      <c r="GE17" s="418">
        <v>58</v>
      </c>
      <c r="GF17" s="418">
        <v>4110</v>
      </c>
      <c r="GG17" s="429">
        <f t="shared" ref="GG17:GG27" si="28">GF17-GF16</f>
        <v>14</v>
      </c>
      <c r="GH17" s="385">
        <v>11352</v>
      </c>
      <c r="GI17" s="418" t="s">
        <v>452</v>
      </c>
      <c r="GJ17" s="418" t="s">
        <v>453</v>
      </c>
      <c r="GM17" s="419" t="s">
        <v>321</v>
      </c>
      <c r="GN17" s="451">
        <v>0.375</v>
      </c>
      <c r="GO17" s="421">
        <v>45741</v>
      </c>
      <c r="GP17" s="452">
        <v>30</v>
      </c>
      <c r="GQ17" s="476"/>
      <c r="GR17" s="402">
        <f t="shared" si="26"/>
        <v>-198.04</v>
      </c>
      <c r="GS17" s="612">
        <v>7849</v>
      </c>
      <c r="GT17" s="452" t="s">
        <v>454</v>
      </c>
      <c r="GU17" s="452" t="s">
        <v>455</v>
      </c>
      <c r="GX17" s="419" t="s">
        <v>290</v>
      </c>
      <c r="GY17" s="545">
        <v>0.20416666666666666</v>
      </c>
      <c r="GZ17" s="530">
        <v>45661</v>
      </c>
      <c r="HA17" s="531">
        <v>35</v>
      </c>
      <c r="HB17" s="531">
        <v>2946.4</v>
      </c>
      <c r="HC17" s="532">
        <f t="shared" ref="HC17:HC49" si="29">HB17-HB16</f>
        <v>13.400000000000091</v>
      </c>
      <c r="HD17" s="531">
        <v>12048</v>
      </c>
      <c r="HE17" s="531" t="s">
        <v>392</v>
      </c>
      <c r="HF17" s="531" t="s">
        <v>425</v>
      </c>
      <c r="HT17" s="531" t="str">
        <f t="shared" si="22"/>
        <v>HAMM 02</v>
      </c>
      <c r="HU17" s="545">
        <v>0.50624999999999998</v>
      </c>
      <c r="HV17" s="530">
        <v>45668</v>
      </c>
      <c r="HW17" s="531">
        <v>62</v>
      </c>
      <c r="HX17" s="531">
        <v>1190.2</v>
      </c>
      <c r="HY17" s="531"/>
      <c r="HZ17" s="531">
        <v>7750</v>
      </c>
      <c r="IA17" s="531"/>
      <c r="IB17" s="531"/>
      <c r="IO17" s="399" t="s">
        <v>326</v>
      </c>
      <c r="IP17" s="426"/>
      <c r="IQ17" s="408">
        <v>45758</v>
      </c>
      <c r="IR17" s="385">
        <v>56</v>
      </c>
      <c r="IS17" s="385">
        <v>0</v>
      </c>
      <c r="IT17" s="385">
        <v>0</v>
      </c>
      <c r="IU17" s="385">
        <v>7477</v>
      </c>
      <c r="IV17" s="539"/>
      <c r="IX17" s="568" t="str">
        <f>+IX16</f>
        <v>DYNAPAC</v>
      </c>
      <c r="IY17" s="569">
        <v>0.45833333333333331</v>
      </c>
      <c r="IZ17" s="570">
        <v>45653</v>
      </c>
      <c r="JA17" s="568">
        <v>18</v>
      </c>
      <c r="JB17" s="568">
        <v>0</v>
      </c>
      <c r="JC17" s="568"/>
      <c r="JD17" s="568">
        <v>9173</v>
      </c>
      <c r="JE17" s="568"/>
      <c r="JF17" s="568" t="s">
        <v>426</v>
      </c>
      <c r="JG17" s="568"/>
      <c r="JH17" s="568"/>
      <c r="JI17" s="568"/>
      <c r="JK17" s="419" t="s">
        <v>328</v>
      </c>
      <c r="JL17" s="426">
        <v>0.42430555555555555</v>
      </c>
      <c r="JM17" s="408">
        <v>45812</v>
      </c>
      <c r="JN17" s="385">
        <v>27</v>
      </c>
      <c r="JO17" s="385">
        <v>4038</v>
      </c>
      <c r="JP17" s="606">
        <f t="shared" si="27"/>
        <v>15</v>
      </c>
      <c r="JQ17" s="385">
        <v>8720</v>
      </c>
      <c r="JR17" s="385" t="s">
        <v>149</v>
      </c>
      <c r="JS17" s="385" t="s">
        <v>149</v>
      </c>
      <c r="JT17" s="613" t="s">
        <v>325</v>
      </c>
      <c r="JU17" s="348" t="s">
        <v>456</v>
      </c>
      <c r="JW17" s="399" t="s">
        <v>293</v>
      </c>
      <c r="JX17" s="451">
        <v>0.69930555555555551</v>
      </c>
      <c r="JY17" s="421">
        <v>45532</v>
      </c>
      <c r="JZ17" s="452">
        <v>64</v>
      </c>
      <c r="KA17" s="452">
        <v>0</v>
      </c>
      <c r="KB17" s="452">
        <v>0</v>
      </c>
      <c r="KC17" s="452">
        <v>9007</v>
      </c>
      <c r="KD17" s="452"/>
      <c r="KE17" s="452" t="s">
        <v>457</v>
      </c>
      <c r="KW17" s="611"/>
      <c r="KX17" s="408"/>
      <c r="KY17" s="385"/>
      <c r="KZ17" s="385"/>
      <c r="LA17" s="407" t="e">
        <f t="shared" si="15"/>
        <v>#DIV/0!</v>
      </c>
      <c r="LD17" s="611"/>
      <c r="LE17" s="408"/>
      <c r="LF17" s="385"/>
      <c r="LG17" s="385"/>
      <c r="LH17" s="407" t="e">
        <f t="shared" si="16"/>
        <v>#DIV/0!</v>
      </c>
    </row>
    <row r="18" spans="2:321" ht="15.75" customHeight="1" x14ac:dyDescent="0.25">
      <c r="B18" s="467" t="s">
        <v>458</v>
      </c>
      <c r="C18" s="467"/>
      <c r="D18" s="421">
        <v>45964</v>
      </c>
      <c r="E18" s="452">
        <v>120</v>
      </c>
      <c r="F18" s="452">
        <v>18761</v>
      </c>
      <c r="G18" s="452">
        <v>11804</v>
      </c>
      <c r="H18" s="452" t="s">
        <v>370</v>
      </c>
      <c r="K18" s="354"/>
      <c r="L18" s="354"/>
      <c r="M18" s="354"/>
      <c r="N18" s="354"/>
      <c r="O18" s="354"/>
      <c r="R18" s="451"/>
      <c r="S18" s="421">
        <v>45789</v>
      </c>
      <c r="T18" s="452">
        <v>20</v>
      </c>
      <c r="U18" s="452"/>
      <c r="V18" s="565">
        <f t="shared" si="23"/>
        <v>-21.48</v>
      </c>
      <c r="W18" s="452"/>
      <c r="X18" s="452" t="s">
        <v>308</v>
      </c>
      <c r="Y18" s="452" t="s">
        <v>371</v>
      </c>
      <c r="Z18" s="452"/>
      <c r="AC18" s="426">
        <v>0.45694444444444443</v>
      </c>
      <c r="AD18" s="408">
        <v>46086</v>
      </c>
      <c r="AE18" s="385">
        <v>94</v>
      </c>
      <c r="AF18" s="539">
        <v>4946</v>
      </c>
      <c r="AG18" s="389">
        <f t="shared" si="8"/>
        <v>40</v>
      </c>
      <c r="AH18" s="385">
        <v>11324</v>
      </c>
      <c r="AI18" s="385" t="s">
        <v>406</v>
      </c>
      <c r="AJ18" s="385" t="s">
        <v>383</v>
      </c>
      <c r="AK18" s="355"/>
      <c r="AM18" s="354"/>
      <c r="AN18" s="354"/>
      <c r="AO18" s="354"/>
      <c r="AP18" s="354"/>
      <c r="AQ18" s="354"/>
      <c r="AR18" s="354"/>
      <c r="AS18" s="354"/>
      <c r="AT18" s="354"/>
      <c r="AU18" s="354"/>
      <c r="AV18" s="354"/>
      <c r="AX18" s="442" t="s">
        <v>339</v>
      </c>
      <c r="AY18" s="426">
        <v>0.41666666666666669</v>
      </c>
      <c r="AZ18" s="408">
        <v>46007</v>
      </c>
      <c r="BA18" s="444">
        <v>283</v>
      </c>
      <c r="BB18" s="427">
        <v>3619</v>
      </c>
      <c r="BC18" s="427">
        <f t="shared" si="1"/>
        <v>19</v>
      </c>
      <c r="BD18" s="385">
        <v>11112</v>
      </c>
      <c r="BE18" s="385" t="s">
        <v>308</v>
      </c>
      <c r="BF18" s="385" t="s">
        <v>447</v>
      </c>
      <c r="BG18" s="470"/>
      <c r="BH18" s="355"/>
      <c r="BI18" s="355"/>
      <c r="BK18" s="385"/>
      <c r="BL18" s="385"/>
      <c r="BM18" s="387">
        <v>45079</v>
      </c>
      <c r="BN18" s="388">
        <v>98</v>
      </c>
      <c r="BO18" s="385">
        <v>7996</v>
      </c>
      <c r="BP18" s="407">
        <f t="shared" si="9"/>
        <v>0.17708333333333334</v>
      </c>
      <c r="BQ18" s="440" t="s">
        <v>459</v>
      </c>
      <c r="BR18" s="385"/>
      <c r="BS18" s="385"/>
      <c r="BT18" s="385"/>
      <c r="BU18" s="355"/>
      <c r="BV18" s="472"/>
      <c r="BW18" s="439"/>
      <c r="BX18" s="446">
        <v>45040</v>
      </c>
      <c r="BY18" s="422">
        <v>38</v>
      </c>
      <c r="BZ18" s="423">
        <v>8769.6</v>
      </c>
      <c r="CA18" s="447">
        <f t="shared" si="10"/>
        <v>8.7356321839084636E-2</v>
      </c>
      <c r="CB18" s="385"/>
      <c r="CC18" s="385"/>
      <c r="CD18" s="385"/>
      <c r="CG18" s="611" t="s">
        <v>307</v>
      </c>
      <c r="CH18" s="551">
        <v>0.4597222222222222</v>
      </c>
      <c r="CI18" s="552">
        <v>45173</v>
      </c>
      <c r="CJ18" s="393">
        <v>190</v>
      </c>
      <c r="CK18" s="393">
        <v>300</v>
      </c>
      <c r="CL18" s="614">
        <f t="shared" si="17"/>
        <v>0.20422535211267606</v>
      </c>
      <c r="CM18" s="440">
        <v>4902</v>
      </c>
      <c r="CN18" s="385"/>
      <c r="CO18" s="385"/>
      <c r="CR18" s="399" t="s">
        <v>310</v>
      </c>
      <c r="CS18" s="385"/>
      <c r="CT18" s="408">
        <v>45409</v>
      </c>
      <c r="CU18" s="385">
        <v>210</v>
      </c>
      <c r="CV18" s="385"/>
      <c r="CW18" s="429"/>
      <c r="CX18" s="385">
        <v>5430</v>
      </c>
      <c r="CY18" s="385" t="s">
        <v>346</v>
      </c>
      <c r="CZ18" s="385" t="s">
        <v>375</v>
      </c>
      <c r="DC18" s="355"/>
      <c r="DD18" s="451">
        <v>0.58333333333333337</v>
      </c>
      <c r="DE18" s="421">
        <v>45441</v>
      </c>
      <c r="DF18" s="474">
        <v>78</v>
      </c>
      <c r="DG18" s="452">
        <v>0</v>
      </c>
      <c r="DH18" s="475">
        <f>(DG18-DG17)/DF17</f>
        <v>0</v>
      </c>
      <c r="DI18" s="452">
        <v>5678</v>
      </c>
      <c r="DJ18" s="453" t="s">
        <v>449</v>
      </c>
      <c r="DK18" s="615" t="s">
        <v>460</v>
      </c>
      <c r="DL18" s="519"/>
      <c r="DM18" s="355"/>
      <c r="DN18" s="399" t="s">
        <v>60</v>
      </c>
      <c r="DO18" s="426"/>
      <c r="DP18" s="408">
        <v>45469</v>
      </c>
      <c r="DQ18" s="385">
        <v>305</v>
      </c>
      <c r="DR18" s="385">
        <v>341</v>
      </c>
      <c r="DS18" s="402">
        <f t="shared" si="2"/>
        <v>9.0753424657534248E-2</v>
      </c>
      <c r="DT18" s="385">
        <v>4013</v>
      </c>
      <c r="DU18" s="402" t="s">
        <v>308</v>
      </c>
      <c r="DV18" s="385" t="s">
        <v>390</v>
      </c>
      <c r="DW18" s="355"/>
      <c r="DX18" s="599" t="str">
        <f t="shared" si="24"/>
        <v>EX14 KOMATSU PC200</v>
      </c>
      <c r="DY18" s="547">
        <v>0.51736111111111116</v>
      </c>
      <c r="DZ18" s="577">
        <v>45610</v>
      </c>
      <c r="EA18" s="546">
        <v>225</v>
      </c>
      <c r="EB18" s="546">
        <v>393.9</v>
      </c>
      <c r="EC18" s="549">
        <f t="shared" si="3"/>
        <v>3.6813084112149532</v>
      </c>
      <c r="ED18" s="546">
        <v>7607</v>
      </c>
      <c r="EE18" s="546" t="str">
        <f t="shared" si="25"/>
        <v>CARLOS M</v>
      </c>
      <c r="EF18" s="546" t="str">
        <f>+EF17</f>
        <v xml:space="preserve">Portal </v>
      </c>
      <c r="EG18" s="546" t="str">
        <f>+EG17</f>
        <v>nissan</v>
      </c>
      <c r="EH18" s="355"/>
      <c r="EI18" s="355"/>
      <c r="EJ18" s="409" t="s">
        <v>376</v>
      </c>
      <c r="EK18" s="426">
        <v>0.41180555555555554</v>
      </c>
      <c r="EL18" s="408">
        <v>45979</v>
      </c>
      <c r="EM18" s="388">
        <v>89</v>
      </c>
      <c r="EN18" s="385">
        <v>1107</v>
      </c>
      <c r="EO18" s="427">
        <f t="shared" si="12"/>
        <v>17</v>
      </c>
      <c r="EP18" s="385">
        <v>11197</v>
      </c>
      <c r="EQ18" s="385" t="s">
        <v>173</v>
      </c>
      <c r="ER18" s="385" t="s">
        <v>304</v>
      </c>
      <c r="ES18" s="385"/>
      <c r="ET18" s="355"/>
      <c r="EW18" s="385"/>
      <c r="EX18" s="385"/>
      <c r="EY18" s="387">
        <v>45065</v>
      </c>
      <c r="EZ18" s="388">
        <v>87</v>
      </c>
      <c r="FA18" s="385">
        <v>5058</v>
      </c>
      <c r="FB18" s="407">
        <f t="shared" si="13"/>
        <v>1.1917808219178083</v>
      </c>
      <c r="FC18" s="385" t="s">
        <v>461</v>
      </c>
      <c r="FD18" s="385"/>
      <c r="FE18" s="385"/>
      <c r="FG18" s="409" t="s">
        <v>289</v>
      </c>
      <c r="FH18" s="426">
        <v>0.52430555555555558</v>
      </c>
      <c r="FI18" s="408">
        <v>45797</v>
      </c>
      <c r="FJ18" s="385">
        <v>65</v>
      </c>
      <c r="FK18" s="385">
        <v>231</v>
      </c>
      <c r="FL18" s="407">
        <f t="shared" si="19"/>
        <v>0.24285714285714285</v>
      </c>
      <c r="FM18" s="385">
        <v>9844</v>
      </c>
      <c r="FN18" s="385" t="s">
        <v>117</v>
      </c>
      <c r="FO18" s="385" t="s">
        <v>434</v>
      </c>
      <c r="FP18" s="385"/>
      <c r="FR18" s="509" t="s">
        <v>288</v>
      </c>
      <c r="FS18" s="426">
        <v>0.50138888888888888</v>
      </c>
      <c r="FT18" s="408">
        <v>45377</v>
      </c>
      <c r="FU18" s="385">
        <v>35</v>
      </c>
      <c r="FV18" s="385">
        <v>2142.1</v>
      </c>
      <c r="FW18" s="407">
        <f t="shared" si="4"/>
        <v>0.89230769230768536</v>
      </c>
      <c r="FX18" s="385">
        <v>7789</v>
      </c>
      <c r="FY18" s="385" t="s">
        <v>419</v>
      </c>
      <c r="FZ18" s="385"/>
      <c r="GC18" s="416">
        <v>0.66666666666666663</v>
      </c>
      <c r="GD18" s="417">
        <v>45876</v>
      </c>
      <c r="GE18" s="418">
        <v>61</v>
      </c>
      <c r="GF18" s="418">
        <v>4120</v>
      </c>
      <c r="GG18" s="429">
        <f t="shared" si="28"/>
        <v>10</v>
      </c>
      <c r="GH18" s="385">
        <v>11381</v>
      </c>
      <c r="GI18" s="418" t="s">
        <v>452</v>
      </c>
      <c r="GJ18" s="418" t="s">
        <v>453</v>
      </c>
      <c r="GM18" s="419" t="s">
        <v>321</v>
      </c>
      <c r="GN18" s="426">
        <v>0.41666666666666669</v>
      </c>
      <c r="GO18" s="408">
        <v>45752</v>
      </c>
      <c r="GP18" s="385">
        <v>56</v>
      </c>
      <c r="GQ18" s="440">
        <v>4976</v>
      </c>
      <c r="GR18" s="407">
        <f t="shared" si="26"/>
        <v>165.86666666666667</v>
      </c>
      <c r="GS18" s="610">
        <v>12109</v>
      </c>
      <c r="GT18" s="385" t="s">
        <v>425</v>
      </c>
      <c r="GU18" s="385"/>
      <c r="GX18" s="419" t="s">
        <v>290</v>
      </c>
      <c r="GY18" s="569">
        <v>0.49861111111111112</v>
      </c>
      <c r="GZ18" s="616">
        <v>45668</v>
      </c>
      <c r="HA18" s="568">
        <v>60</v>
      </c>
      <c r="HB18" s="568">
        <v>2982</v>
      </c>
      <c r="HC18" s="532">
        <f t="shared" si="29"/>
        <v>35.599999999999909</v>
      </c>
      <c r="HD18" s="568">
        <v>7748</v>
      </c>
      <c r="HE18" s="568" t="s">
        <v>406</v>
      </c>
      <c r="HF18" s="568" t="s">
        <v>425</v>
      </c>
      <c r="HT18" s="399" t="s">
        <v>324</v>
      </c>
      <c r="HU18" s="426">
        <v>0.6645833333333333</v>
      </c>
      <c r="HV18" s="408">
        <v>45688</v>
      </c>
      <c r="HW18" s="385">
        <v>13</v>
      </c>
      <c r="HX18" s="385">
        <v>1195</v>
      </c>
      <c r="HY18" s="385"/>
      <c r="HZ18" s="385">
        <v>9014</v>
      </c>
      <c r="IO18" s="399" t="s">
        <v>462</v>
      </c>
      <c r="IP18" s="426">
        <v>0.72013888888888888</v>
      </c>
      <c r="IQ18" s="408">
        <v>45762</v>
      </c>
      <c r="IR18" s="385">
        <v>28</v>
      </c>
      <c r="IS18" s="385">
        <v>0</v>
      </c>
      <c r="IT18" s="385">
        <v>0</v>
      </c>
      <c r="IU18" s="385">
        <v>8688</v>
      </c>
      <c r="IV18" s="539" t="s">
        <v>463</v>
      </c>
      <c r="IX18" s="419" t="s">
        <v>464</v>
      </c>
      <c r="IY18" s="426">
        <v>0.33333333333333331</v>
      </c>
      <c r="IZ18" s="408">
        <v>45794</v>
      </c>
      <c r="JA18" s="388">
        <v>20</v>
      </c>
      <c r="JB18" s="385"/>
      <c r="JC18" s="385"/>
      <c r="JD18" s="385">
        <v>9814</v>
      </c>
      <c r="JE18" s="385"/>
      <c r="JF18" s="385" t="s">
        <v>408</v>
      </c>
      <c r="JK18" s="419" t="s">
        <v>328</v>
      </c>
      <c r="JL18" s="426">
        <v>0.58333333333333337</v>
      </c>
      <c r="JM18" s="408">
        <v>45987</v>
      </c>
      <c r="JN18" s="385">
        <v>11</v>
      </c>
      <c r="JO18" s="385">
        <v>4042</v>
      </c>
      <c r="JP18" s="606">
        <f t="shared" si="27"/>
        <v>4</v>
      </c>
      <c r="JQ18" s="385">
        <v>11467</v>
      </c>
      <c r="JR18" s="385" t="s">
        <v>149</v>
      </c>
      <c r="JS18" s="440" t="s">
        <v>465</v>
      </c>
      <c r="JT18" s="617"/>
      <c r="JW18" s="399" t="s">
        <v>293</v>
      </c>
      <c r="JX18" s="451">
        <v>0.60138888888888886</v>
      </c>
      <c r="JY18" s="421">
        <v>45539</v>
      </c>
      <c r="JZ18" s="452">
        <v>54</v>
      </c>
      <c r="KA18" s="452">
        <v>0</v>
      </c>
      <c r="KB18" s="452">
        <v>0</v>
      </c>
      <c r="KC18" s="452">
        <v>8701</v>
      </c>
      <c r="KD18" s="452"/>
      <c r="KE18" s="452" t="s">
        <v>457</v>
      </c>
      <c r="KW18" s="611"/>
      <c r="KX18" s="552"/>
      <c r="KY18" s="393"/>
      <c r="KZ18" s="393"/>
      <c r="LA18" s="477" t="e">
        <f t="shared" si="15"/>
        <v>#DIV/0!</v>
      </c>
      <c r="LB18" s="385"/>
      <c r="LD18" s="611"/>
      <c r="LE18" s="552"/>
      <c r="LF18" s="393"/>
      <c r="LG18" s="393"/>
      <c r="LH18" s="477" t="e">
        <f t="shared" si="16"/>
        <v>#DIV/0!</v>
      </c>
      <c r="LI18" s="385"/>
    </row>
    <row r="19" spans="2:321" ht="15.75" customHeight="1" x14ac:dyDescent="0.25">
      <c r="B19" s="467" t="s">
        <v>369</v>
      </c>
      <c r="C19" s="467"/>
      <c r="D19" s="421">
        <v>46014</v>
      </c>
      <c r="E19" s="452">
        <v>60</v>
      </c>
      <c r="F19" s="452"/>
      <c r="G19" s="452">
        <v>10376</v>
      </c>
      <c r="H19" s="452" t="s">
        <v>370</v>
      </c>
      <c r="I19" s="453"/>
      <c r="K19" s="354"/>
      <c r="L19" s="354"/>
      <c r="M19" s="354"/>
      <c r="N19" s="354"/>
      <c r="O19" s="354"/>
      <c r="Q19" s="409" t="s">
        <v>427</v>
      </c>
      <c r="R19" s="426">
        <v>0.54166666666666663</v>
      </c>
      <c r="S19" s="408">
        <v>45797</v>
      </c>
      <c r="T19" s="385">
        <v>87</v>
      </c>
      <c r="U19" s="385">
        <v>608</v>
      </c>
      <c r="V19" s="565">
        <f t="shared" si="23"/>
        <v>1.5142857142857142</v>
      </c>
      <c r="W19" s="385">
        <v>9845</v>
      </c>
      <c r="X19" s="385" t="s">
        <v>308</v>
      </c>
      <c r="Y19" s="385" t="s">
        <v>466</v>
      </c>
      <c r="Z19" s="385"/>
      <c r="AB19" s="442" t="s">
        <v>283</v>
      </c>
      <c r="AC19" s="426">
        <v>0.86597222222222225</v>
      </c>
      <c r="AD19" s="408">
        <v>46090</v>
      </c>
      <c r="AE19" s="385">
        <v>68</v>
      </c>
      <c r="AF19" s="471">
        <v>4946</v>
      </c>
      <c r="AG19" s="389">
        <f t="shared" si="8"/>
        <v>0</v>
      </c>
      <c r="AH19" s="385">
        <v>11346</v>
      </c>
      <c r="AI19" s="385" t="s">
        <v>406</v>
      </c>
      <c r="AJ19" s="385" t="s">
        <v>383</v>
      </c>
      <c r="AK19" s="355"/>
      <c r="AM19" s="354"/>
      <c r="AN19" s="354"/>
      <c r="AO19" s="354"/>
      <c r="AP19" s="354"/>
      <c r="AQ19" s="354"/>
      <c r="AR19" s="354"/>
      <c r="AS19" s="354"/>
      <c r="AT19" s="354"/>
      <c r="AU19" s="354"/>
      <c r="AV19" s="354"/>
      <c r="AY19" s="451">
        <v>0.73055555555555551</v>
      </c>
      <c r="AZ19" s="421">
        <v>46009</v>
      </c>
      <c r="BA19" s="518">
        <v>284</v>
      </c>
      <c r="BB19" s="511">
        <v>3638</v>
      </c>
      <c r="BC19" s="511">
        <f t="shared" si="1"/>
        <v>19</v>
      </c>
      <c r="BD19" s="452">
        <v>11127</v>
      </c>
      <c r="BE19" s="452" t="s">
        <v>308</v>
      </c>
      <c r="BF19" s="452" t="s">
        <v>447</v>
      </c>
      <c r="BG19" s="519"/>
      <c r="BH19" s="355"/>
      <c r="BI19" s="355"/>
      <c r="BK19" s="385"/>
      <c r="BL19" s="385"/>
      <c r="BM19" s="387">
        <v>45082</v>
      </c>
      <c r="BN19" s="388">
        <v>37</v>
      </c>
      <c r="BO19" s="385">
        <v>8006</v>
      </c>
      <c r="BP19" s="407">
        <f t="shared" si="9"/>
        <v>0.10204081632653061</v>
      </c>
      <c r="BQ19" s="440" t="s">
        <v>467</v>
      </c>
      <c r="BR19" s="385"/>
      <c r="BS19" s="385"/>
      <c r="BT19" s="385"/>
      <c r="BU19" s="355"/>
      <c r="BV19" s="472"/>
      <c r="BW19" s="439"/>
      <c r="BX19" s="446">
        <v>45045</v>
      </c>
      <c r="BY19" s="422">
        <v>116</v>
      </c>
      <c r="BZ19" s="423">
        <v>8782</v>
      </c>
      <c r="CA19" s="447">
        <f t="shared" si="10"/>
        <v>0.32631578947367462</v>
      </c>
      <c r="CB19" s="385"/>
      <c r="CC19" s="385"/>
      <c r="CD19" s="385"/>
      <c r="CH19" s="393"/>
      <c r="CI19" s="552">
        <v>45176</v>
      </c>
      <c r="CJ19" s="393">
        <v>220</v>
      </c>
      <c r="CK19" s="393">
        <v>329</v>
      </c>
      <c r="CL19" s="614">
        <f t="shared" si="17"/>
        <v>0.15263157894736842</v>
      </c>
      <c r="CM19" s="618">
        <v>4944</v>
      </c>
      <c r="CN19" s="385"/>
      <c r="CO19" s="385"/>
      <c r="CS19" s="451">
        <v>0.62916666666666665</v>
      </c>
      <c r="CT19" s="421">
        <v>45411</v>
      </c>
      <c r="CU19" s="452">
        <v>31</v>
      </c>
      <c r="CV19" s="452">
        <v>5748.8</v>
      </c>
      <c r="CW19" s="429"/>
      <c r="CX19" s="452">
        <v>5542</v>
      </c>
      <c r="CY19" s="385" t="s">
        <v>346</v>
      </c>
      <c r="CZ19" s="385" t="s">
        <v>375</v>
      </c>
      <c r="DC19" s="399" t="s">
        <v>311</v>
      </c>
      <c r="DD19" s="491">
        <v>0.86111111111111116</v>
      </c>
      <c r="DE19" s="513">
        <v>45478</v>
      </c>
      <c r="DF19" s="493">
        <v>26</v>
      </c>
      <c r="DG19" s="469"/>
      <c r="DH19" s="619">
        <f>(DG19-DG18)/DF18</f>
        <v>0</v>
      </c>
      <c r="DI19" s="469">
        <v>4070</v>
      </c>
      <c r="DJ19" s="578" t="s">
        <v>449</v>
      </c>
      <c r="DK19" s="620"/>
      <c r="DL19" s="470"/>
      <c r="DM19" s="355"/>
      <c r="DN19" s="399" t="s">
        <v>60</v>
      </c>
      <c r="DO19" s="426"/>
      <c r="DP19" s="408">
        <v>45474</v>
      </c>
      <c r="DQ19" s="385">
        <v>334</v>
      </c>
      <c r="DR19" s="385">
        <v>366.5</v>
      </c>
      <c r="DS19" s="402">
        <f t="shared" si="2"/>
        <v>8.3606557377049182E-2</v>
      </c>
      <c r="DT19" s="385">
        <v>4033</v>
      </c>
      <c r="DU19" s="402" t="s">
        <v>308</v>
      </c>
      <c r="DV19" s="385" t="s">
        <v>390</v>
      </c>
      <c r="DW19" s="355"/>
      <c r="DX19" s="599" t="str">
        <f t="shared" si="24"/>
        <v>EX14 KOMATSU PC200</v>
      </c>
      <c r="DY19" s="547">
        <v>0.66666666666666663</v>
      </c>
      <c r="DZ19" s="577">
        <v>45621</v>
      </c>
      <c r="EA19" s="546">
        <v>224</v>
      </c>
      <c r="EB19" s="546">
        <v>433.4</v>
      </c>
      <c r="EC19" s="549">
        <f t="shared" si="3"/>
        <v>0.17555555555555555</v>
      </c>
      <c r="ED19" s="546">
        <v>7906</v>
      </c>
      <c r="EE19" s="546" t="str">
        <f>+EE18</f>
        <v>CARLOS M</v>
      </c>
      <c r="EF19" s="546" t="s">
        <v>468</v>
      </c>
      <c r="EG19" s="546" t="str">
        <f t="shared" ref="EG19:EG24" si="30">+EG18</f>
        <v>nissan</v>
      </c>
      <c r="EH19" s="355"/>
      <c r="EI19" s="355"/>
      <c r="EJ19" s="409" t="s">
        <v>376</v>
      </c>
      <c r="EK19" s="426">
        <v>0.52083333333333337</v>
      </c>
      <c r="EL19" s="408">
        <v>45985</v>
      </c>
      <c r="EM19" s="388">
        <v>103</v>
      </c>
      <c r="EN19" s="385">
        <v>1134</v>
      </c>
      <c r="EO19" s="427">
        <f t="shared" si="12"/>
        <v>27</v>
      </c>
      <c r="EP19" s="385">
        <v>11083</v>
      </c>
      <c r="EQ19" s="385" t="s">
        <v>173</v>
      </c>
      <c r="ER19" s="385" t="s">
        <v>304</v>
      </c>
      <c r="ES19" s="385"/>
      <c r="ET19" s="355"/>
      <c r="EW19" s="385"/>
      <c r="EX19" s="385"/>
      <c r="EY19" s="387">
        <v>45068</v>
      </c>
      <c r="EZ19" s="388">
        <v>29</v>
      </c>
      <c r="FA19" s="385">
        <v>4874</v>
      </c>
      <c r="FB19" s="407">
        <f t="shared" si="13"/>
        <v>-2.1149425287356323</v>
      </c>
      <c r="FC19" s="385" t="s">
        <v>469</v>
      </c>
      <c r="FD19" s="385"/>
      <c r="FE19" s="385"/>
      <c r="FG19" s="409" t="s">
        <v>289</v>
      </c>
      <c r="FH19" s="426">
        <v>0.4375</v>
      </c>
      <c r="FI19" s="408">
        <v>45805</v>
      </c>
      <c r="FJ19" s="385">
        <v>73</v>
      </c>
      <c r="FK19" s="385">
        <v>276</v>
      </c>
      <c r="FL19" s="407">
        <f t="shared" si="19"/>
        <v>0.69230769230769229</v>
      </c>
      <c r="FM19" s="385">
        <v>9859</v>
      </c>
      <c r="FN19" s="385" t="s">
        <v>392</v>
      </c>
      <c r="FO19" s="385" t="s">
        <v>434</v>
      </c>
      <c r="FP19" s="385"/>
      <c r="FR19" s="509" t="s">
        <v>288</v>
      </c>
      <c r="FS19" s="426">
        <v>0.33333333333333331</v>
      </c>
      <c r="FT19" s="408">
        <v>45472</v>
      </c>
      <c r="FU19" s="385">
        <v>71</v>
      </c>
      <c r="FV19" s="385">
        <v>2160.1999999999998</v>
      </c>
      <c r="FW19" s="407">
        <f t="shared" si="4"/>
        <v>0.51714285714285457</v>
      </c>
      <c r="FX19" s="385">
        <v>8476</v>
      </c>
      <c r="FY19" s="591" t="s">
        <v>323</v>
      </c>
      <c r="FZ19" s="385"/>
      <c r="GB19" s="415" t="s">
        <v>319</v>
      </c>
      <c r="GC19" s="416">
        <v>0.49930555555555556</v>
      </c>
      <c r="GD19" s="417">
        <v>45881</v>
      </c>
      <c r="GE19" s="418">
        <v>41</v>
      </c>
      <c r="GF19" s="418">
        <v>4130</v>
      </c>
      <c r="GG19" s="429">
        <f t="shared" si="28"/>
        <v>10</v>
      </c>
      <c r="GH19" s="385">
        <v>10357</v>
      </c>
      <c r="GI19" s="418" t="s">
        <v>452</v>
      </c>
      <c r="GJ19" s="418" t="s">
        <v>453</v>
      </c>
      <c r="GN19" s="426">
        <v>0.41666666666666669</v>
      </c>
      <c r="GO19" s="408">
        <v>45758</v>
      </c>
      <c r="GP19" s="385">
        <v>55</v>
      </c>
      <c r="GQ19" s="440"/>
      <c r="GR19" s="407">
        <f t="shared" si="26"/>
        <v>-88.857142857142861</v>
      </c>
      <c r="GS19" s="610">
        <v>7474</v>
      </c>
      <c r="GT19" s="385" t="s">
        <v>470</v>
      </c>
      <c r="GU19" s="385" t="s">
        <v>407</v>
      </c>
      <c r="GX19" s="419" t="s">
        <v>290</v>
      </c>
      <c r="GY19" s="451">
        <v>0.48541666666666666</v>
      </c>
      <c r="GZ19" s="421">
        <v>45675</v>
      </c>
      <c r="HA19" s="452">
        <v>68</v>
      </c>
      <c r="HB19" s="452">
        <v>3015</v>
      </c>
      <c r="HC19" s="482">
        <f t="shared" si="29"/>
        <v>33</v>
      </c>
      <c r="HD19" s="452">
        <v>13017</v>
      </c>
      <c r="HE19" s="452" t="s">
        <v>406</v>
      </c>
      <c r="HF19" s="452" t="s">
        <v>425</v>
      </c>
      <c r="HS19" s="355"/>
      <c r="HT19" s="399" t="s">
        <v>324</v>
      </c>
      <c r="HU19" s="385"/>
      <c r="HV19" s="408">
        <v>45737</v>
      </c>
      <c r="HW19" s="385">
        <v>60</v>
      </c>
      <c r="HX19" s="385">
        <v>1208</v>
      </c>
      <c r="HY19" s="385"/>
      <c r="HZ19" s="385" t="s">
        <v>471</v>
      </c>
      <c r="IA19" s="385"/>
      <c r="IB19" s="385" t="s">
        <v>472</v>
      </c>
      <c r="ID19" s="355"/>
      <c r="IE19" s="355"/>
      <c r="IF19" s="355"/>
      <c r="IG19" s="355"/>
      <c r="IH19" s="355"/>
      <c r="II19" s="355"/>
      <c r="IJ19" s="355"/>
      <c r="IK19" s="355"/>
      <c r="IL19" s="355"/>
      <c r="IM19" s="355"/>
      <c r="IN19" s="355"/>
      <c r="IO19" s="399" t="s">
        <v>462</v>
      </c>
      <c r="IP19" s="426">
        <v>0.4375</v>
      </c>
      <c r="IQ19" s="408">
        <v>45962</v>
      </c>
      <c r="IR19" s="385">
        <v>20</v>
      </c>
      <c r="IS19" s="385">
        <v>750</v>
      </c>
      <c r="IT19" s="385">
        <v>0</v>
      </c>
      <c r="IU19" s="385">
        <v>11797</v>
      </c>
      <c r="IV19" s="539" t="s">
        <v>473</v>
      </c>
      <c r="IX19" s="419" t="s">
        <v>474</v>
      </c>
      <c r="IY19" s="426">
        <v>0.69791666666666663</v>
      </c>
      <c r="IZ19" s="408">
        <v>45895</v>
      </c>
      <c r="JA19" s="388">
        <v>5</v>
      </c>
      <c r="JB19" s="385"/>
      <c r="JC19" s="385"/>
      <c r="JD19" s="385">
        <v>10286</v>
      </c>
      <c r="JE19" s="385"/>
      <c r="JF19" s="385" t="s">
        <v>172</v>
      </c>
      <c r="JK19" s="419" t="s">
        <v>328</v>
      </c>
      <c r="JL19" s="426">
        <v>0.46180555555555558</v>
      </c>
      <c r="JM19" s="408">
        <v>46036</v>
      </c>
      <c r="JN19" s="385">
        <v>23</v>
      </c>
      <c r="JO19" s="385">
        <v>4051</v>
      </c>
      <c r="JP19" s="606">
        <f t="shared" si="27"/>
        <v>9</v>
      </c>
      <c r="JQ19" s="385">
        <v>11467</v>
      </c>
      <c r="JR19" s="385" t="s">
        <v>149</v>
      </c>
      <c r="JS19" s="621" t="s">
        <v>475</v>
      </c>
      <c r="JT19" s="617"/>
      <c r="JW19" s="399" t="s">
        <v>293</v>
      </c>
      <c r="JX19" s="426">
        <v>0.51875000000000004</v>
      </c>
      <c r="JY19" s="408">
        <v>45555</v>
      </c>
      <c r="JZ19" s="385">
        <v>27</v>
      </c>
      <c r="KA19" s="385">
        <v>0</v>
      </c>
      <c r="KB19" s="385">
        <v>0</v>
      </c>
      <c r="KC19" s="385">
        <v>8578</v>
      </c>
      <c r="KD19" s="385"/>
      <c r="KE19" s="385" t="s">
        <v>457</v>
      </c>
      <c r="KX19" s="552"/>
      <c r="KY19" s="393"/>
      <c r="KZ19" s="393"/>
      <c r="LA19" s="477" t="e">
        <f t="shared" si="15"/>
        <v>#DIV/0!</v>
      </c>
      <c r="LB19" s="393"/>
      <c r="LE19" s="552"/>
      <c r="LF19" s="393"/>
      <c r="LG19" s="393"/>
      <c r="LH19" s="477" t="e">
        <f t="shared" si="16"/>
        <v>#DIV/0!</v>
      </c>
      <c r="LI19" s="393"/>
    </row>
    <row r="20" spans="2:321" ht="15.75" customHeight="1" x14ac:dyDescent="0.25">
      <c r="B20" s="467" t="s">
        <v>369</v>
      </c>
      <c r="C20" s="467"/>
      <c r="D20" s="421">
        <v>46024</v>
      </c>
      <c r="E20" s="452">
        <v>25</v>
      </c>
      <c r="F20" s="452"/>
      <c r="G20" s="452">
        <v>9978</v>
      </c>
      <c r="H20" s="452" t="s">
        <v>304</v>
      </c>
      <c r="K20" s="354"/>
      <c r="L20" s="354"/>
      <c r="M20" s="354"/>
      <c r="N20" s="354"/>
      <c r="O20" s="354"/>
      <c r="R20" s="426"/>
      <c r="S20" s="408">
        <v>45800</v>
      </c>
      <c r="T20" s="385">
        <v>17</v>
      </c>
      <c r="U20" s="385">
        <v>629</v>
      </c>
      <c r="V20" s="565">
        <f t="shared" si="23"/>
        <v>31.45</v>
      </c>
      <c r="W20" s="385">
        <v>12195</v>
      </c>
      <c r="X20" s="385" t="s">
        <v>308</v>
      </c>
      <c r="Y20" s="385" t="s">
        <v>408</v>
      </c>
      <c r="Z20" s="385"/>
      <c r="AC20" s="426">
        <v>0.46736111111111112</v>
      </c>
      <c r="AD20" s="408">
        <v>46093</v>
      </c>
      <c r="AE20" s="385">
        <v>92</v>
      </c>
      <c r="AF20" s="385">
        <v>4992</v>
      </c>
      <c r="AG20" s="389">
        <f t="shared" si="8"/>
        <v>46</v>
      </c>
      <c r="AH20" s="385">
        <v>11761</v>
      </c>
      <c r="AI20" s="385" t="s">
        <v>406</v>
      </c>
      <c r="AJ20" s="385" t="s">
        <v>383</v>
      </c>
      <c r="AK20" s="355"/>
      <c r="AO20" s="355"/>
      <c r="AP20" s="355"/>
      <c r="AQ20" s="355"/>
      <c r="AR20" s="355"/>
      <c r="AS20" s="355"/>
      <c r="AT20" s="355"/>
      <c r="AU20" s="355"/>
      <c r="AV20" s="355"/>
      <c r="AX20" s="442" t="s">
        <v>339</v>
      </c>
      <c r="AY20" s="426">
        <v>0.41458333333333336</v>
      </c>
      <c r="AZ20" s="408">
        <v>46014</v>
      </c>
      <c r="BA20" s="444">
        <v>282</v>
      </c>
      <c r="BB20" s="427">
        <v>3661</v>
      </c>
      <c r="BC20" s="427">
        <f t="shared" si="1"/>
        <v>23</v>
      </c>
      <c r="BD20" s="385">
        <v>11148</v>
      </c>
      <c r="BE20" s="385" t="s">
        <v>308</v>
      </c>
      <c r="BF20" s="385" t="s">
        <v>447</v>
      </c>
      <c r="BG20" s="470"/>
      <c r="BH20" s="355"/>
      <c r="BI20" s="355"/>
      <c r="BK20" s="385"/>
      <c r="BL20" s="385"/>
      <c r="BM20" s="387">
        <v>45089</v>
      </c>
      <c r="BN20" s="388">
        <v>85</v>
      </c>
      <c r="BO20" s="385">
        <v>8029</v>
      </c>
      <c r="BP20" s="407">
        <f t="shared" si="9"/>
        <v>0.6216216216216216</v>
      </c>
      <c r="BQ20" s="440" t="s">
        <v>476</v>
      </c>
      <c r="BR20" s="385"/>
      <c r="BS20" s="385"/>
      <c r="BT20" s="385"/>
      <c r="BU20" s="355"/>
      <c r="BV20" s="472"/>
      <c r="BW20" s="439"/>
      <c r="BX20" s="446">
        <v>45050</v>
      </c>
      <c r="BY20" s="422">
        <v>161</v>
      </c>
      <c r="BZ20" s="423">
        <v>8799</v>
      </c>
      <c r="CA20" s="447">
        <f t="shared" si="10"/>
        <v>0.14655172413793102</v>
      </c>
      <c r="CB20" s="385"/>
      <c r="CC20" s="385"/>
      <c r="CD20" s="385"/>
      <c r="CG20" s="442" t="s">
        <v>307</v>
      </c>
      <c r="CH20" s="622">
        <v>0.44861111111111113</v>
      </c>
      <c r="CI20" s="623">
        <v>45182</v>
      </c>
      <c r="CJ20" s="624">
        <v>189</v>
      </c>
      <c r="CK20" s="624">
        <v>353</v>
      </c>
      <c r="CL20" s="625">
        <f t="shared" si="17"/>
        <v>0.10909090909090909</v>
      </c>
      <c r="CM20" s="626">
        <v>5986</v>
      </c>
      <c r="CN20" s="385"/>
      <c r="CO20" s="385"/>
      <c r="CR20" s="399" t="s">
        <v>310</v>
      </c>
      <c r="CS20" s="426">
        <v>0.38263888888888886</v>
      </c>
      <c r="CT20" s="408">
        <v>45418</v>
      </c>
      <c r="CU20" s="385">
        <v>160</v>
      </c>
      <c r="CV20" s="385">
        <v>57845</v>
      </c>
      <c r="CW20" s="429">
        <f t="shared" ref="CW20:CW60" si="31">+(CV20-CV19)/CU19</f>
        <v>1680.5225806451613</v>
      </c>
      <c r="CX20" s="385">
        <v>5605</v>
      </c>
      <c r="CY20" s="385" t="s">
        <v>346</v>
      </c>
      <c r="CZ20" s="385" t="s">
        <v>375</v>
      </c>
      <c r="DC20" s="531" t="str">
        <f>+DC19</f>
        <v>EX12</v>
      </c>
      <c r="DD20" s="545">
        <v>0.60138888888888886</v>
      </c>
      <c r="DE20" s="530">
        <v>45664</v>
      </c>
      <c r="DF20" s="531">
        <v>25</v>
      </c>
      <c r="DG20" s="531">
        <v>6080</v>
      </c>
      <c r="DH20" s="619">
        <f>(DG20-DG19)/DF19</f>
        <v>233.84615384615384</v>
      </c>
      <c r="DI20" s="531">
        <v>8184</v>
      </c>
      <c r="DJ20" s="531">
        <v>0</v>
      </c>
      <c r="DK20" s="531">
        <v>0</v>
      </c>
      <c r="DL20" s="385"/>
      <c r="DM20" s="355"/>
      <c r="DN20" s="355"/>
      <c r="DO20" s="451">
        <v>0.65277777777777779</v>
      </c>
      <c r="DP20" s="421">
        <v>45476</v>
      </c>
      <c r="DQ20" s="452">
        <v>322</v>
      </c>
      <c r="DR20" s="452">
        <v>387</v>
      </c>
      <c r="DS20" s="402">
        <f t="shared" si="2"/>
        <v>6.1377245508982034E-2</v>
      </c>
      <c r="DT20" s="452">
        <v>4041</v>
      </c>
      <c r="DU20" s="402" t="s">
        <v>308</v>
      </c>
      <c r="DV20" s="452" t="s">
        <v>390</v>
      </c>
      <c r="DW20" s="355"/>
      <c r="DX20" s="583" t="str">
        <f t="shared" si="24"/>
        <v>EX14 KOMATSU PC200</v>
      </c>
      <c r="DY20" s="547" t="s">
        <v>477</v>
      </c>
      <c r="DZ20" s="577">
        <v>45630</v>
      </c>
      <c r="EA20" s="546">
        <v>266</v>
      </c>
      <c r="EB20" s="546">
        <v>466.7</v>
      </c>
      <c r="EC20" s="549">
        <f t="shared" si="3"/>
        <v>0.14866071428571434</v>
      </c>
      <c r="ED20" s="546">
        <v>7324</v>
      </c>
      <c r="EE20" s="546" t="str">
        <f>+EE19</f>
        <v>CARLOS M</v>
      </c>
      <c r="EF20" s="546" t="s">
        <v>478</v>
      </c>
      <c r="EG20" s="546" t="str">
        <f t="shared" si="30"/>
        <v>nissan</v>
      </c>
      <c r="EH20" s="355"/>
      <c r="EI20" s="355"/>
      <c r="EK20" s="426">
        <v>0.58194444444444449</v>
      </c>
      <c r="EL20" s="408">
        <v>45988</v>
      </c>
      <c r="EM20" s="388">
        <v>94</v>
      </c>
      <c r="EN20" s="385">
        <v>1156</v>
      </c>
      <c r="EO20" s="427">
        <f t="shared" si="12"/>
        <v>22</v>
      </c>
      <c r="EP20" s="385">
        <v>11255</v>
      </c>
      <c r="EQ20" s="385" t="s">
        <v>173</v>
      </c>
      <c r="ER20" s="385" t="s">
        <v>304</v>
      </c>
      <c r="ES20" s="385"/>
      <c r="ET20" s="355"/>
      <c r="EW20" s="385"/>
      <c r="EX20" s="385"/>
      <c r="EY20" s="387">
        <v>45070</v>
      </c>
      <c r="EZ20" s="388">
        <v>61</v>
      </c>
      <c r="FA20" s="385">
        <v>4814</v>
      </c>
      <c r="FB20" s="407">
        <f t="shared" si="13"/>
        <v>-2.0689655172413794</v>
      </c>
      <c r="FC20" s="385" t="s">
        <v>479</v>
      </c>
      <c r="FD20" s="385"/>
      <c r="FE20" s="385"/>
      <c r="FG20" s="409" t="s">
        <v>289</v>
      </c>
      <c r="FH20" s="426">
        <v>0.34722222222222221</v>
      </c>
      <c r="FI20" s="408">
        <v>45810</v>
      </c>
      <c r="FJ20" s="385">
        <v>16</v>
      </c>
      <c r="FK20" s="385"/>
      <c r="FL20" s="407">
        <f t="shared" si="19"/>
        <v>-3.7808219178082192</v>
      </c>
      <c r="FM20" s="385">
        <v>8706</v>
      </c>
      <c r="FN20" s="385" t="s">
        <v>392</v>
      </c>
      <c r="FO20" s="385" t="s">
        <v>434</v>
      </c>
      <c r="FP20" s="385" t="s">
        <v>480</v>
      </c>
      <c r="FR20" s="509" t="s">
        <v>288</v>
      </c>
      <c r="FS20" s="627">
        <v>0.61111111111111116</v>
      </c>
      <c r="FT20" s="628">
        <v>45390</v>
      </c>
      <c r="FU20" s="629">
        <v>68</v>
      </c>
      <c r="FV20" s="629">
        <v>2201.1</v>
      </c>
      <c r="FW20" s="630">
        <f>(FV20-FV19)/FU19</f>
        <v>0.57605633802817025</v>
      </c>
      <c r="FX20" s="629">
        <v>8345</v>
      </c>
      <c r="FY20" s="629" t="s">
        <v>481</v>
      </c>
      <c r="FZ20" s="629"/>
      <c r="GB20" s="442" t="s">
        <v>319</v>
      </c>
      <c r="GC20" s="416">
        <v>0.65416666666666667</v>
      </c>
      <c r="GD20" s="417">
        <v>45890</v>
      </c>
      <c r="GE20" s="418">
        <v>66</v>
      </c>
      <c r="GF20" s="418">
        <v>4143</v>
      </c>
      <c r="GG20" s="429">
        <f t="shared" si="28"/>
        <v>13</v>
      </c>
      <c r="GH20" s="385">
        <v>10259</v>
      </c>
      <c r="GI20" s="418" t="s">
        <v>452</v>
      </c>
      <c r="GJ20" s="418" t="s">
        <v>453</v>
      </c>
      <c r="GM20" s="419" t="s">
        <v>321</v>
      </c>
      <c r="GN20" s="426"/>
      <c r="GO20" s="408">
        <v>45760</v>
      </c>
      <c r="GP20" s="385">
        <v>20</v>
      </c>
      <c r="GQ20" s="507"/>
      <c r="GR20" s="631">
        <f t="shared" si="26"/>
        <v>0</v>
      </c>
      <c r="GS20" s="632">
        <v>7475</v>
      </c>
      <c r="GT20" s="506" t="s">
        <v>470</v>
      </c>
      <c r="GU20" s="506" t="s">
        <v>407</v>
      </c>
      <c r="GV20" s="633" t="s">
        <v>387</v>
      </c>
      <c r="GX20" s="419" t="s">
        <v>290</v>
      </c>
      <c r="GY20" s="451">
        <v>0.41666666666666669</v>
      </c>
      <c r="GZ20" s="421">
        <v>45681</v>
      </c>
      <c r="HA20" s="452">
        <v>45</v>
      </c>
      <c r="HB20" s="452">
        <v>3038</v>
      </c>
      <c r="HC20" s="482">
        <f t="shared" si="29"/>
        <v>23</v>
      </c>
      <c r="HD20" s="452">
        <v>14018</v>
      </c>
      <c r="HE20" s="452" t="s">
        <v>406</v>
      </c>
      <c r="HF20" s="452" t="s">
        <v>425</v>
      </c>
      <c r="HT20" s="399" t="s">
        <v>324</v>
      </c>
      <c r="HU20" s="426">
        <v>0.42569444444444443</v>
      </c>
      <c r="HV20" s="408">
        <v>45757</v>
      </c>
      <c r="HW20" s="385">
        <v>66</v>
      </c>
      <c r="HX20" s="385">
        <v>1225</v>
      </c>
      <c r="HY20" s="385"/>
      <c r="HZ20" s="385">
        <v>7456</v>
      </c>
      <c r="IA20" s="385"/>
      <c r="IB20" s="634" t="s">
        <v>472</v>
      </c>
      <c r="IP20" s="426">
        <v>0.4201388888888889</v>
      </c>
      <c r="IQ20" s="408">
        <v>45965</v>
      </c>
      <c r="IR20" s="385">
        <v>12</v>
      </c>
      <c r="IS20" s="385">
        <v>755</v>
      </c>
      <c r="IT20" s="385">
        <v>0</v>
      </c>
      <c r="IU20" s="385">
        <v>11011</v>
      </c>
      <c r="IV20" s="539" t="s">
        <v>408</v>
      </c>
      <c r="IX20" s="419" t="s">
        <v>474</v>
      </c>
      <c r="IY20" s="426">
        <v>0.60416666666666663</v>
      </c>
      <c r="IZ20" s="408">
        <v>45904</v>
      </c>
      <c r="JA20" s="388">
        <v>4</v>
      </c>
      <c r="JB20" s="385"/>
      <c r="JC20" s="385"/>
      <c r="JD20" s="385">
        <v>11445</v>
      </c>
      <c r="JE20" s="385"/>
      <c r="JF20" s="385" t="s">
        <v>172</v>
      </c>
      <c r="JL20" s="426">
        <v>0.4777777777777778</v>
      </c>
      <c r="JM20" s="408">
        <v>46038</v>
      </c>
      <c r="JN20" s="385">
        <v>26</v>
      </c>
      <c r="JO20" s="385">
        <v>4058</v>
      </c>
      <c r="JP20" s="606">
        <f t="shared" si="27"/>
        <v>7</v>
      </c>
      <c r="JQ20" s="385"/>
      <c r="JR20" s="385" t="s">
        <v>452</v>
      </c>
      <c r="JS20" s="621" t="s">
        <v>482</v>
      </c>
      <c r="JT20" s="617"/>
      <c r="JW20" s="603" t="str">
        <f>+JW19</f>
        <v>RO 07</v>
      </c>
      <c r="JX20" s="603">
        <v>17.559999999999999</v>
      </c>
      <c r="JY20" s="605">
        <v>45604</v>
      </c>
      <c r="JZ20" s="603">
        <v>19</v>
      </c>
      <c r="KA20" s="603">
        <v>0</v>
      </c>
      <c r="KB20" s="603">
        <v>0</v>
      </c>
      <c r="KC20" s="603">
        <v>7853</v>
      </c>
      <c r="KD20" s="603"/>
      <c r="KE20" s="603" t="str">
        <f>+KE19</f>
        <v>COLINAS DEL SOL</v>
      </c>
      <c r="KW20" s="442"/>
      <c r="KX20" s="623"/>
      <c r="KY20" s="624"/>
      <c r="KZ20" s="624"/>
      <c r="LA20" s="635" t="e">
        <f t="shared" si="15"/>
        <v>#DIV/0!</v>
      </c>
      <c r="LB20" s="624"/>
      <c r="LD20" s="442"/>
      <c r="LE20" s="623"/>
      <c r="LF20" s="624"/>
      <c r="LG20" s="624"/>
      <c r="LH20" s="635" t="e">
        <f t="shared" si="16"/>
        <v>#DIV/0!</v>
      </c>
      <c r="LI20" s="624"/>
    </row>
    <row r="21" spans="2:321" ht="15.75" customHeight="1" x14ac:dyDescent="0.25">
      <c r="B21" s="467" t="s">
        <v>458</v>
      </c>
      <c r="C21" s="467"/>
      <c r="D21" s="421">
        <v>46029</v>
      </c>
      <c r="E21" s="452">
        <v>94</v>
      </c>
      <c r="F21" s="452">
        <v>18775</v>
      </c>
      <c r="G21" s="452">
        <v>9978</v>
      </c>
      <c r="H21" s="452" t="s">
        <v>304</v>
      </c>
      <c r="K21" s="354"/>
      <c r="L21" s="354"/>
      <c r="M21" s="354"/>
      <c r="N21" s="354"/>
      <c r="O21" s="354"/>
      <c r="Q21" s="409" t="s">
        <v>427</v>
      </c>
      <c r="R21" s="426">
        <v>0.31944444444444442</v>
      </c>
      <c r="S21" s="408">
        <v>45803</v>
      </c>
      <c r="T21" s="385">
        <v>12</v>
      </c>
      <c r="U21" s="385">
        <v>634</v>
      </c>
      <c r="V21" s="565">
        <f t="shared" si="23"/>
        <v>0.2988505747126437</v>
      </c>
      <c r="W21" s="385">
        <v>9368</v>
      </c>
      <c r="X21" s="385" t="s">
        <v>67</v>
      </c>
      <c r="Y21" s="385" t="s">
        <v>434</v>
      </c>
      <c r="Z21" s="385"/>
      <c r="AB21" s="442" t="s">
        <v>283</v>
      </c>
      <c r="AC21" s="491">
        <v>0.3125</v>
      </c>
      <c r="AD21" s="513">
        <v>46097</v>
      </c>
      <c r="AE21" s="469">
        <v>84</v>
      </c>
      <c r="AF21" s="515">
        <v>4992</v>
      </c>
      <c r="AG21" s="516">
        <f t="shared" si="8"/>
        <v>0</v>
      </c>
      <c r="AH21" s="469">
        <v>11780</v>
      </c>
      <c r="AI21" s="469" t="s">
        <v>406</v>
      </c>
      <c r="AJ21" s="469" t="s">
        <v>383</v>
      </c>
      <c r="AK21" s="355"/>
      <c r="AO21" s="355"/>
      <c r="AP21" s="355"/>
      <c r="AQ21" s="355"/>
      <c r="AR21" s="355"/>
      <c r="AS21" s="355"/>
      <c r="AT21" s="355"/>
      <c r="AU21" s="355"/>
      <c r="AV21" s="355"/>
      <c r="AX21" s="442" t="s">
        <v>339</v>
      </c>
      <c r="AY21" s="426">
        <v>0.3923611111111111</v>
      </c>
      <c r="AZ21" s="408">
        <v>46383</v>
      </c>
      <c r="BA21" s="444">
        <v>350</v>
      </c>
      <c r="BB21" s="427">
        <v>3681</v>
      </c>
      <c r="BC21" s="427">
        <f t="shared" si="1"/>
        <v>20</v>
      </c>
      <c r="BD21" s="385">
        <v>9962</v>
      </c>
      <c r="BE21" s="385" t="s">
        <v>308</v>
      </c>
      <c r="BF21" s="385" t="s">
        <v>447</v>
      </c>
      <c r="BG21" s="470"/>
      <c r="BH21" s="355"/>
      <c r="BI21" s="355"/>
      <c r="BK21" s="385"/>
      <c r="BL21" s="385"/>
      <c r="BM21" s="387">
        <v>45092</v>
      </c>
      <c r="BN21" s="388">
        <v>101</v>
      </c>
      <c r="BO21" s="385">
        <v>8045</v>
      </c>
      <c r="BP21" s="407">
        <f t="shared" si="9"/>
        <v>0.18823529411764706</v>
      </c>
      <c r="BQ21" s="440" t="s">
        <v>483</v>
      </c>
      <c r="BR21" s="385"/>
      <c r="BS21" s="385"/>
      <c r="BT21" s="385"/>
      <c r="BU21" s="355"/>
      <c r="BV21" s="472"/>
      <c r="BW21" s="439"/>
      <c r="BX21" s="446">
        <v>45054</v>
      </c>
      <c r="BY21" s="422">
        <v>140</v>
      </c>
      <c r="BZ21" s="423">
        <v>8816.5</v>
      </c>
      <c r="CA21" s="447">
        <f t="shared" si="10"/>
        <v>0.10869565217391304</v>
      </c>
      <c r="CB21" s="385"/>
      <c r="CC21" s="385"/>
      <c r="CD21" s="385"/>
      <c r="CG21" s="442" t="s">
        <v>307</v>
      </c>
      <c r="CH21" s="426">
        <v>0.58819444444444446</v>
      </c>
      <c r="CI21" s="408">
        <v>45188</v>
      </c>
      <c r="CJ21" s="385">
        <v>214</v>
      </c>
      <c r="CK21" s="385">
        <v>383</v>
      </c>
      <c r="CL21" s="389">
        <f t="shared" si="17"/>
        <v>0.15873015873015872</v>
      </c>
      <c r="CM21" s="440">
        <v>5777</v>
      </c>
      <c r="CN21" s="385"/>
      <c r="CO21" s="385"/>
      <c r="CS21" s="426">
        <v>0.63263888888888886</v>
      </c>
      <c r="CT21" s="408">
        <v>45420</v>
      </c>
      <c r="CU21" s="385">
        <v>202</v>
      </c>
      <c r="CV21" s="385">
        <v>5306.6</v>
      </c>
      <c r="CW21" s="429">
        <f t="shared" si="31"/>
        <v>-328.36500000000001</v>
      </c>
      <c r="CX21" s="385">
        <v>5624</v>
      </c>
      <c r="CY21" s="385" t="s">
        <v>346</v>
      </c>
      <c r="CZ21" s="385" t="s">
        <v>375</v>
      </c>
      <c r="DC21" s="531" t="str">
        <f>+DC20</f>
        <v>EX12</v>
      </c>
      <c r="DD21" s="545">
        <v>0.5</v>
      </c>
      <c r="DE21" s="530">
        <v>45668</v>
      </c>
      <c r="DF21" s="531">
        <v>44</v>
      </c>
      <c r="DG21" s="531">
        <v>6798</v>
      </c>
      <c r="DH21" s="636">
        <f>(DG21-DG20)/DF20</f>
        <v>28.72</v>
      </c>
      <c r="DI21" s="531">
        <v>7749</v>
      </c>
      <c r="DJ21" s="531" t="s">
        <v>406</v>
      </c>
      <c r="DK21" s="531" t="s">
        <v>425</v>
      </c>
      <c r="DL21" s="385"/>
      <c r="DM21" s="355"/>
      <c r="DN21" s="399" t="s">
        <v>60</v>
      </c>
      <c r="DO21" s="426">
        <v>0.41041666666666665</v>
      </c>
      <c r="DP21" s="408">
        <v>45481</v>
      </c>
      <c r="DQ21" s="385">
        <v>230</v>
      </c>
      <c r="DR21" s="385">
        <v>409</v>
      </c>
      <c r="DS21" s="402">
        <f t="shared" si="2"/>
        <v>6.8322981366459631E-2</v>
      </c>
      <c r="DT21" s="385">
        <v>4086</v>
      </c>
      <c r="DU21" s="402" t="s">
        <v>308</v>
      </c>
      <c r="DV21" s="385" t="s">
        <v>390</v>
      </c>
      <c r="DW21" s="355"/>
      <c r="DX21" s="599" t="str">
        <f t="shared" si="24"/>
        <v>EX14 KOMATSU PC200</v>
      </c>
      <c r="DY21" s="547">
        <v>0.40763888888888888</v>
      </c>
      <c r="DZ21" s="577">
        <v>45632</v>
      </c>
      <c r="EA21" s="546">
        <v>124</v>
      </c>
      <c r="EB21" s="546">
        <v>394.5</v>
      </c>
      <c r="EC21" s="549">
        <f t="shared" si="3"/>
        <v>-0.27142857142857141</v>
      </c>
      <c r="ED21" s="546">
        <v>7336</v>
      </c>
      <c r="EE21" s="546" t="s">
        <v>80</v>
      </c>
      <c r="EF21" s="546" t="s">
        <v>484</v>
      </c>
      <c r="EG21" s="546" t="str">
        <f t="shared" si="30"/>
        <v>nissan</v>
      </c>
      <c r="EH21" s="355"/>
      <c r="EI21" s="355"/>
      <c r="EJ21" s="409" t="s">
        <v>376</v>
      </c>
      <c r="EK21" s="426">
        <v>0.41597222222222224</v>
      </c>
      <c r="EL21" s="408">
        <v>45995</v>
      </c>
      <c r="EM21" s="388">
        <v>54</v>
      </c>
      <c r="EN21" s="385">
        <v>1174</v>
      </c>
      <c r="EO21" s="427">
        <f t="shared" si="12"/>
        <v>18</v>
      </c>
      <c r="EP21" s="385">
        <v>11534</v>
      </c>
      <c r="EQ21" s="385" t="s">
        <v>149</v>
      </c>
      <c r="ER21" s="385"/>
      <c r="ES21" s="385" t="s">
        <v>485</v>
      </c>
      <c r="ET21" s="355"/>
      <c r="EW21" s="385"/>
      <c r="EX21" s="385"/>
      <c r="EY21" s="387">
        <v>45073</v>
      </c>
      <c r="EZ21" s="388">
        <v>68</v>
      </c>
      <c r="FA21" s="385">
        <v>4814</v>
      </c>
      <c r="FB21" s="407">
        <f t="shared" si="13"/>
        <v>0</v>
      </c>
      <c r="FC21" s="385" t="s">
        <v>486</v>
      </c>
      <c r="FD21" s="385"/>
      <c r="FE21" s="385"/>
      <c r="FH21" s="426">
        <v>0.54861111111111116</v>
      </c>
      <c r="FI21" s="408">
        <v>45810</v>
      </c>
      <c r="FJ21" s="385">
        <v>84</v>
      </c>
      <c r="FK21" s="385">
        <v>304</v>
      </c>
      <c r="FL21" s="407">
        <f t="shared" si="19"/>
        <v>19</v>
      </c>
      <c r="FM21" s="385">
        <v>9414</v>
      </c>
      <c r="FN21" s="385" t="s">
        <v>392</v>
      </c>
      <c r="FO21" s="385" t="s">
        <v>434</v>
      </c>
      <c r="FP21" s="385"/>
      <c r="FR21" s="509" t="s">
        <v>288</v>
      </c>
      <c r="FS21" s="426">
        <v>0.67222222222222228</v>
      </c>
      <c r="FT21" s="408">
        <v>45394</v>
      </c>
      <c r="FU21" s="385">
        <v>57</v>
      </c>
      <c r="FV21" s="385">
        <v>2217.5</v>
      </c>
      <c r="FW21" s="630">
        <f>(FV21-FV20)/FU20</f>
        <v>0.24117647058823663</v>
      </c>
      <c r="FX21" s="385">
        <v>5341</v>
      </c>
      <c r="FY21" s="575" t="s">
        <v>95</v>
      </c>
      <c r="GB21" s="442" t="s">
        <v>319</v>
      </c>
      <c r="GC21" s="416">
        <v>0.46597222222222223</v>
      </c>
      <c r="GD21" s="417">
        <v>45897</v>
      </c>
      <c r="GE21" s="418">
        <v>63</v>
      </c>
      <c r="GF21" s="418">
        <v>4156</v>
      </c>
      <c r="GG21" s="429">
        <f t="shared" si="28"/>
        <v>13</v>
      </c>
      <c r="GH21" s="385">
        <v>10297</v>
      </c>
      <c r="GI21" s="418" t="s">
        <v>452</v>
      </c>
      <c r="GJ21" s="418" t="s">
        <v>453</v>
      </c>
      <c r="GN21" s="426">
        <v>0.55069444444444449</v>
      </c>
      <c r="GO21" s="408">
        <v>45762</v>
      </c>
      <c r="GP21" s="385">
        <v>80</v>
      </c>
      <c r="GQ21" s="440">
        <v>5008</v>
      </c>
      <c r="GR21" s="407">
        <f t="shared" si="26"/>
        <v>250.4</v>
      </c>
      <c r="GS21" s="610">
        <v>10108</v>
      </c>
      <c r="GT21" s="385" t="s">
        <v>470</v>
      </c>
      <c r="GU21" s="385" t="s">
        <v>407</v>
      </c>
      <c r="GY21" s="426">
        <v>0.66041666666666665</v>
      </c>
      <c r="GZ21" s="408">
        <v>45688</v>
      </c>
      <c r="HA21" s="385">
        <v>41</v>
      </c>
      <c r="HB21" s="385">
        <v>3061</v>
      </c>
      <c r="HC21" s="423">
        <f t="shared" si="29"/>
        <v>23</v>
      </c>
      <c r="HD21" s="385">
        <v>9013</v>
      </c>
      <c r="HE21" s="385" t="s">
        <v>406</v>
      </c>
      <c r="HF21" s="385" t="s">
        <v>425</v>
      </c>
      <c r="HT21" s="399" t="s">
        <v>324</v>
      </c>
      <c r="HU21" s="426"/>
      <c r="HV21" s="408">
        <v>45762</v>
      </c>
      <c r="HW21" s="385">
        <v>23</v>
      </c>
      <c r="HX21" s="385">
        <v>1232</v>
      </c>
      <c r="HY21" s="385"/>
      <c r="HZ21" s="385">
        <v>10112</v>
      </c>
      <c r="IA21" s="385"/>
      <c r="IB21" s="634" t="s">
        <v>472</v>
      </c>
      <c r="IP21" s="426">
        <v>0.32430555555555557</v>
      </c>
      <c r="IQ21" s="408">
        <v>45966</v>
      </c>
      <c r="IR21" s="385">
        <v>11</v>
      </c>
      <c r="IS21" s="385" t="s">
        <v>487</v>
      </c>
      <c r="IT21" s="385">
        <v>0</v>
      </c>
      <c r="IU21" s="385">
        <v>11015</v>
      </c>
      <c r="IV21" s="539" t="s">
        <v>408</v>
      </c>
      <c r="IX21" s="419" t="s">
        <v>474</v>
      </c>
      <c r="IY21" s="426">
        <v>0.69652777777777775</v>
      </c>
      <c r="IZ21" s="408">
        <v>45911</v>
      </c>
      <c r="JA21" s="388">
        <v>11</v>
      </c>
      <c r="JB21" s="385"/>
      <c r="JC21" s="385"/>
      <c r="JD21" s="385">
        <v>10831</v>
      </c>
      <c r="JE21" s="385"/>
      <c r="JF21" s="385" t="s">
        <v>172</v>
      </c>
      <c r="JK21" s="419" t="s">
        <v>328</v>
      </c>
      <c r="JL21" s="491"/>
      <c r="JM21" s="513">
        <v>46043</v>
      </c>
      <c r="JN21" s="469">
        <v>13</v>
      </c>
      <c r="JO21" s="469">
        <v>4062</v>
      </c>
      <c r="JP21" s="637">
        <f t="shared" si="27"/>
        <v>4</v>
      </c>
      <c r="JQ21" s="469">
        <v>10637</v>
      </c>
      <c r="JR21" s="469" t="s">
        <v>452</v>
      </c>
      <c r="JS21" s="638" t="s">
        <v>482</v>
      </c>
      <c r="JT21" s="639"/>
      <c r="JW21" s="603" t="str">
        <f>+JW20</f>
        <v>RO 07</v>
      </c>
      <c r="JX21" s="604">
        <v>0.625</v>
      </c>
      <c r="JY21" s="605">
        <v>45619</v>
      </c>
      <c r="JZ21" s="603">
        <v>10</v>
      </c>
      <c r="KA21" s="603">
        <v>433.4</v>
      </c>
      <c r="KB21" s="603">
        <v>0</v>
      </c>
      <c r="KC21" s="603">
        <v>7905</v>
      </c>
      <c r="KD21" s="603" t="s">
        <v>81</v>
      </c>
      <c r="KE21" s="603" t="s">
        <v>468</v>
      </c>
      <c r="KW21" s="442"/>
      <c r="KX21" s="408"/>
      <c r="KY21" s="385"/>
      <c r="KZ21" s="385"/>
      <c r="LA21" s="407" t="e">
        <f t="shared" si="15"/>
        <v>#DIV/0!</v>
      </c>
      <c r="LB21" s="385"/>
      <c r="LD21" s="442"/>
      <c r="LE21" s="408"/>
      <c r="LF21" s="385"/>
      <c r="LG21" s="385"/>
      <c r="LH21" s="407" t="e">
        <f t="shared" si="16"/>
        <v>#DIV/0!</v>
      </c>
      <c r="LI21" s="385"/>
    </row>
    <row r="22" spans="2:321" ht="15.75" customHeight="1" x14ac:dyDescent="0.25">
      <c r="B22" s="640" t="s">
        <v>369</v>
      </c>
      <c r="C22" s="640"/>
      <c r="D22" s="421">
        <v>46029</v>
      </c>
      <c r="E22" s="452">
        <v>29</v>
      </c>
      <c r="F22" s="452"/>
      <c r="G22" s="452">
        <v>9902</v>
      </c>
      <c r="H22" s="452" t="s">
        <v>488</v>
      </c>
      <c r="I22" s="452" t="s">
        <v>489</v>
      </c>
      <c r="K22" s="354"/>
      <c r="L22" s="354"/>
      <c r="M22" s="354"/>
      <c r="N22" s="354"/>
      <c r="O22" s="354"/>
      <c r="P22" s="368"/>
      <c r="Q22" s="409" t="s">
        <v>427</v>
      </c>
      <c r="R22" s="426">
        <v>0.34722222222222221</v>
      </c>
      <c r="S22" s="408">
        <v>45810</v>
      </c>
      <c r="T22" s="385">
        <v>17</v>
      </c>
      <c r="U22" s="385"/>
      <c r="V22" s="565">
        <f t="shared" si="23"/>
        <v>-37</v>
      </c>
      <c r="W22" s="385">
        <v>8706</v>
      </c>
      <c r="X22" s="385" t="s">
        <v>67</v>
      </c>
      <c r="Y22" s="385" t="s">
        <v>434</v>
      </c>
      <c r="Z22" s="385" t="s">
        <v>490</v>
      </c>
      <c r="AA22" s="368"/>
      <c r="AC22" s="491"/>
      <c r="AD22" s="513">
        <v>46099</v>
      </c>
      <c r="AE22" s="469">
        <v>100</v>
      </c>
      <c r="AF22" s="469">
        <v>5032</v>
      </c>
      <c r="AG22" s="516">
        <f t="shared" si="8"/>
        <v>40</v>
      </c>
      <c r="AH22" s="469">
        <v>12755</v>
      </c>
      <c r="AI22" s="469" t="s">
        <v>406</v>
      </c>
      <c r="AJ22" s="469" t="s">
        <v>383</v>
      </c>
      <c r="AK22" s="355"/>
      <c r="AO22" s="355"/>
      <c r="AP22" s="355"/>
      <c r="AQ22" s="355"/>
      <c r="AR22" s="355"/>
      <c r="AS22" s="355"/>
      <c r="AT22" s="355"/>
      <c r="AU22" s="355"/>
      <c r="AV22" s="355"/>
      <c r="AY22" s="451">
        <v>0.4513888888888889</v>
      </c>
      <c r="AZ22" s="421">
        <v>46387</v>
      </c>
      <c r="BA22" s="518">
        <v>344</v>
      </c>
      <c r="BB22" s="511">
        <v>3705</v>
      </c>
      <c r="BC22" s="511">
        <f t="shared" si="1"/>
        <v>24</v>
      </c>
      <c r="BD22" s="452">
        <v>9971</v>
      </c>
      <c r="BE22" s="452" t="s">
        <v>308</v>
      </c>
      <c r="BF22" s="452" t="s">
        <v>447</v>
      </c>
      <c r="BG22" s="519"/>
      <c r="BH22" s="355"/>
      <c r="BI22" s="355"/>
      <c r="BK22" s="385"/>
      <c r="BL22" s="385"/>
      <c r="BM22" s="387">
        <v>45096</v>
      </c>
      <c r="BN22" s="388">
        <v>72</v>
      </c>
      <c r="BO22" s="385">
        <v>8058</v>
      </c>
      <c r="BP22" s="407">
        <f t="shared" si="9"/>
        <v>0.12871287128712872</v>
      </c>
      <c r="BQ22" s="440" t="s">
        <v>491</v>
      </c>
      <c r="BR22" s="385"/>
      <c r="BS22" s="385"/>
      <c r="BT22" s="385"/>
      <c r="BU22" s="355"/>
      <c r="BV22" s="641"/>
      <c r="BW22" s="642"/>
      <c r="BX22" s="643">
        <v>45057</v>
      </c>
      <c r="BY22" s="412">
        <v>120</v>
      </c>
      <c r="BZ22" s="413">
        <v>8831.6</v>
      </c>
      <c r="CA22" s="501">
        <f t="shared" si="10"/>
        <v>0.10785714285714545</v>
      </c>
      <c r="CB22" s="385"/>
      <c r="CC22" s="385"/>
      <c r="CD22" s="385"/>
      <c r="CG22" s="442" t="s">
        <v>307</v>
      </c>
      <c r="CH22" s="385"/>
      <c r="CI22" s="408">
        <v>45195</v>
      </c>
      <c r="CJ22" s="385">
        <v>237</v>
      </c>
      <c r="CK22" s="385">
        <v>414</v>
      </c>
      <c r="CL22" s="389">
        <f t="shared" si="17"/>
        <v>0.14485981308411214</v>
      </c>
      <c r="CM22" s="440">
        <v>5833</v>
      </c>
      <c r="CN22" s="385"/>
      <c r="CO22" s="385"/>
      <c r="CS22" s="426">
        <v>0.54027777777777775</v>
      </c>
      <c r="CT22" s="408">
        <v>45427</v>
      </c>
      <c r="CU22" s="385">
        <v>260</v>
      </c>
      <c r="CV22" s="385">
        <v>5854.6</v>
      </c>
      <c r="CW22" s="429">
        <f t="shared" si="31"/>
        <v>2.7128712871287131</v>
      </c>
      <c r="CX22" s="385">
        <v>5741</v>
      </c>
      <c r="CY22" s="385" t="s">
        <v>346</v>
      </c>
      <c r="CZ22" s="385" t="s">
        <v>375</v>
      </c>
      <c r="DC22" s="415" t="s">
        <v>311</v>
      </c>
      <c r="DD22" s="426">
        <v>0.48541666666666666</v>
      </c>
      <c r="DE22" s="408">
        <v>45675</v>
      </c>
      <c r="DF22" s="385">
        <v>33</v>
      </c>
      <c r="DG22" s="385">
        <v>6125</v>
      </c>
      <c r="DH22" s="396">
        <f>DG22-DG21</f>
        <v>-673</v>
      </c>
      <c r="DI22" s="385">
        <v>13018</v>
      </c>
      <c r="DJ22" s="385" t="s">
        <v>406</v>
      </c>
      <c r="DK22" s="440" t="s">
        <v>425</v>
      </c>
      <c r="DL22" s="385"/>
      <c r="DO22" s="426">
        <v>0.57291666666666663</v>
      </c>
      <c r="DP22" s="408">
        <v>45483</v>
      </c>
      <c r="DQ22" s="385">
        <v>293</v>
      </c>
      <c r="DR22" s="385">
        <v>429</v>
      </c>
      <c r="DS22" s="402">
        <f t="shared" si="2"/>
        <v>8.6956521739130432E-2</v>
      </c>
      <c r="DT22" s="385">
        <v>8538</v>
      </c>
      <c r="DU22" s="402" t="s">
        <v>308</v>
      </c>
      <c r="DV22" s="385" t="s">
        <v>390</v>
      </c>
      <c r="DX22" s="546" t="str">
        <f t="shared" si="24"/>
        <v>EX14 KOMATSU PC200</v>
      </c>
      <c r="DY22" s="547">
        <v>0.11458333333333333</v>
      </c>
      <c r="DZ22" s="577">
        <v>45643</v>
      </c>
      <c r="EA22" s="546">
        <v>207</v>
      </c>
      <c r="EB22" s="546">
        <v>511</v>
      </c>
      <c r="EC22" s="549">
        <f t="shared" si="3"/>
        <v>0.93951612903225812</v>
      </c>
      <c r="ED22" s="546">
        <v>9066</v>
      </c>
      <c r="EE22" s="546" t="s">
        <v>312</v>
      </c>
      <c r="EF22" s="546" t="s">
        <v>390</v>
      </c>
      <c r="EG22" s="546" t="str">
        <f t="shared" si="30"/>
        <v>nissan</v>
      </c>
      <c r="EJ22" s="409" t="s">
        <v>376</v>
      </c>
      <c r="EK22" s="426">
        <v>0.41944444444444445</v>
      </c>
      <c r="EL22" s="408">
        <v>45999</v>
      </c>
      <c r="EM22" s="388">
        <v>98</v>
      </c>
      <c r="EN22" s="385">
        <v>1193</v>
      </c>
      <c r="EO22" s="427">
        <f t="shared" si="12"/>
        <v>19</v>
      </c>
      <c r="EP22" s="385">
        <v>11207</v>
      </c>
      <c r="EQ22" s="385" t="s">
        <v>351</v>
      </c>
      <c r="ER22" s="385" t="s">
        <v>304</v>
      </c>
      <c r="ES22" s="385"/>
      <c r="EW22" s="385"/>
      <c r="EX22" s="385" t="s">
        <v>492</v>
      </c>
      <c r="EY22" s="387">
        <v>45076</v>
      </c>
      <c r="EZ22" s="388">
        <v>31</v>
      </c>
      <c r="FA22" s="385">
        <v>4874</v>
      </c>
      <c r="FB22" s="407">
        <f t="shared" si="13"/>
        <v>0.88235294117647056</v>
      </c>
      <c r="FC22" s="385" t="s">
        <v>493</v>
      </c>
      <c r="FD22" s="385"/>
      <c r="FE22" s="385"/>
      <c r="FH22" s="426">
        <v>0.61388888888888893</v>
      </c>
      <c r="FI22" s="408">
        <v>45814</v>
      </c>
      <c r="FJ22" s="385">
        <v>66</v>
      </c>
      <c r="FK22" s="385">
        <v>323</v>
      </c>
      <c r="FL22" s="407">
        <f t="shared" si="19"/>
        <v>0.22619047619047619</v>
      </c>
      <c r="FM22" s="385">
        <v>1033</v>
      </c>
      <c r="FN22" s="385" t="s">
        <v>392</v>
      </c>
      <c r="FO22" s="385" t="s">
        <v>434</v>
      </c>
      <c r="FP22" s="385"/>
      <c r="FR22" s="509" t="s">
        <v>288</v>
      </c>
      <c r="FS22" s="451">
        <v>0.58958333333333335</v>
      </c>
      <c r="FT22" s="421">
        <v>45398</v>
      </c>
      <c r="FU22" s="452">
        <v>38</v>
      </c>
      <c r="FV22" s="452">
        <v>2227.6999999999998</v>
      </c>
      <c r="FW22" s="644">
        <f>(FV22-FV21)/FU21</f>
        <v>0.17894736842104944</v>
      </c>
      <c r="FX22" s="452">
        <v>5377</v>
      </c>
      <c r="FY22" s="452" t="s">
        <v>494</v>
      </c>
      <c r="FZ22" s="385" t="s">
        <v>351</v>
      </c>
      <c r="GB22" s="442" t="s">
        <v>319</v>
      </c>
      <c r="GC22" s="416"/>
      <c r="GD22" s="417">
        <v>45908</v>
      </c>
      <c r="GE22" s="418">
        <v>73</v>
      </c>
      <c r="GF22" s="418">
        <v>4156</v>
      </c>
      <c r="GG22" s="429">
        <f t="shared" si="28"/>
        <v>0</v>
      </c>
      <c r="GH22" s="385">
        <v>10812</v>
      </c>
      <c r="GI22" s="418" t="s">
        <v>452</v>
      </c>
      <c r="GJ22" s="418" t="s">
        <v>453</v>
      </c>
      <c r="GN22" s="426">
        <v>0.73333333333333328</v>
      </c>
      <c r="GO22" s="408">
        <v>45764</v>
      </c>
      <c r="GP22" s="385">
        <v>43</v>
      </c>
      <c r="GQ22" s="440">
        <v>5013</v>
      </c>
      <c r="GR22" s="407">
        <f t="shared" si="26"/>
        <v>6.25E-2</v>
      </c>
      <c r="GS22" s="610">
        <v>10124</v>
      </c>
      <c r="GT22" s="385" t="s">
        <v>470</v>
      </c>
      <c r="GU22" s="385" t="s">
        <v>407</v>
      </c>
      <c r="GX22" s="419" t="s">
        <v>290</v>
      </c>
      <c r="GY22" s="645">
        <v>0.48125000000000001</v>
      </c>
      <c r="GZ22" s="566">
        <v>45708</v>
      </c>
      <c r="HA22" s="348">
        <v>60</v>
      </c>
      <c r="HB22" s="348">
        <v>3085</v>
      </c>
      <c r="HC22" s="413">
        <f t="shared" si="29"/>
        <v>24</v>
      </c>
      <c r="HD22" s="348">
        <v>15149</v>
      </c>
      <c r="HE22" s="348" t="s">
        <v>322</v>
      </c>
      <c r="HF22" s="348" t="s">
        <v>408</v>
      </c>
      <c r="HT22" s="355"/>
      <c r="HU22" s="426"/>
      <c r="HV22" s="408">
        <v>45792</v>
      </c>
      <c r="HW22" s="385">
        <v>40</v>
      </c>
      <c r="HX22" s="385"/>
      <c r="HY22" s="385"/>
      <c r="HZ22" s="385">
        <v>9334</v>
      </c>
      <c r="IA22" s="385"/>
      <c r="IB22" s="646" t="s">
        <v>495</v>
      </c>
      <c r="IO22" s="399" t="s">
        <v>462</v>
      </c>
      <c r="IP22" s="426">
        <v>0.70138888888888884</v>
      </c>
      <c r="IQ22" s="408">
        <v>46069</v>
      </c>
      <c r="IR22" s="385">
        <v>22</v>
      </c>
      <c r="IS22" s="385">
        <v>754</v>
      </c>
      <c r="IT22" s="385">
        <v>0</v>
      </c>
      <c r="IU22" s="385">
        <v>10482</v>
      </c>
      <c r="IV22" s="539" t="s">
        <v>304</v>
      </c>
      <c r="IX22" s="476" t="s">
        <v>474</v>
      </c>
      <c r="IY22" s="426">
        <v>0.60069444444444442</v>
      </c>
      <c r="IZ22" s="408">
        <v>45918</v>
      </c>
      <c r="JA22" s="388">
        <v>8</v>
      </c>
      <c r="JB22" s="385"/>
      <c r="JC22" s="385"/>
      <c r="JD22" s="385">
        <v>10959</v>
      </c>
      <c r="JE22" s="385"/>
      <c r="JF22" s="385" t="s">
        <v>172</v>
      </c>
      <c r="JR22" s="348" t="s">
        <v>496</v>
      </c>
      <c r="JW22" s="399" t="s">
        <v>293</v>
      </c>
      <c r="JX22" s="551"/>
      <c r="JY22" s="552">
        <v>45758</v>
      </c>
      <c r="JZ22" s="393">
        <v>56</v>
      </c>
      <c r="KA22" s="393">
        <v>0</v>
      </c>
      <c r="KB22" s="393">
        <v>0</v>
      </c>
      <c r="KC22" s="393">
        <v>7477</v>
      </c>
      <c r="KD22" s="647" t="s">
        <v>354</v>
      </c>
      <c r="KW22" s="442"/>
      <c r="KX22" s="408"/>
      <c r="KY22" s="385"/>
      <c r="KZ22" s="385"/>
      <c r="LA22" s="407" t="e">
        <f t="shared" si="15"/>
        <v>#DIV/0!</v>
      </c>
      <c r="LB22" s="385"/>
      <c r="LD22" s="442"/>
      <c r="LE22" s="408"/>
      <c r="LF22" s="385"/>
      <c r="LG22" s="385"/>
      <c r="LH22" s="407" t="e">
        <f t="shared" si="16"/>
        <v>#DIV/0!</v>
      </c>
      <c r="LI22" s="385"/>
    </row>
    <row r="23" spans="2:321" ht="15.75" customHeight="1" x14ac:dyDescent="0.25">
      <c r="B23" s="640" t="s">
        <v>369</v>
      </c>
      <c r="C23" s="640"/>
      <c r="D23" s="421">
        <v>46030</v>
      </c>
      <c r="E23" s="452">
        <v>49</v>
      </c>
      <c r="F23" s="452"/>
      <c r="G23" s="452">
        <v>9905</v>
      </c>
      <c r="H23" s="452" t="s">
        <v>488</v>
      </c>
      <c r="I23" s="452" t="s">
        <v>489</v>
      </c>
      <c r="K23" s="354"/>
      <c r="L23" s="354"/>
      <c r="M23" s="354"/>
      <c r="N23" s="354"/>
      <c r="O23" s="354"/>
      <c r="R23" s="426">
        <v>0.55208333333333337</v>
      </c>
      <c r="S23" s="408">
        <v>45810</v>
      </c>
      <c r="T23" s="385">
        <v>20</v>
      </c>
      <c r="U23" s="385">
        <v>657</v>
      </c>
      <c r="V23" s="565">
        <f t="shared" si="23"/>
        <v>1.9166666666666667</v>
      </c>
      <c r="W23" s="385">
        <v>9415</v>
      </c>
      <c r="X23" s="385" t="s">
        <v>67</v>
      </c>
      <c r="Y23" s="385" t="s">
        <v>434</v>
      </c>
      <c r="Z23" s="385"/>
      <c r="AC23" s="491">
        <v>0.50416666666666665</v>
      </c>
      <c r="AD23" s="513">
        <v>46101</v>
      </c>
      <c r="AE23" s="469">
        <v>86</v>
      </c>
      <c r="AF23" s="469">
        <v>5049</v>
      </c>
      <c r="AG23" s="516">
        <f t="shared" si="8"/>
        <v>17</v>
      </c>
      <c r="AH23" s="469">
        <v>12784</v>
      </c>
      <c r="AI23" s="469" t="s">
        <v>406</v>
      </c>
      <c r="AJ23" s="469" t="s">
        <v>383</v>
      </c>
      <c r="AK23" s="355"/>
      <c r="AX23" s="442" t="s">
        <v>339</v>
      </c>
      <c r="AY23" s="426"/>
      <c r="AZ23" s="408">
        <v>46029</v>
      </c>
      <c r="BA23" s="444">
        <v>183</v>
      </c>
      <c r="BB23" s="427">
        <v>3719</v>
      </c>
      <c r="BC23" s="427">
        <f t="shared" si="1"/>
        <v>14</v>
      </c>
      <c r="BD23" s="385">
        <v>9999</v>
      </c>
      <c r="BE23" s="385" t="s">
        <v>308</v>
      </c>
      <c r="BF23" s="385" t="s">
        <v>447</v>
      </c>
      <c r="BG23" s="470"/>
      <c r="BH23" s="355"/>
      <c r="BI23" s="355"/>
      <c r="BK23" s="385"/>
      <c r="BL23" s="385"/>
      <c r="BM23" s="387">
        <v>45099</v>
      </c>
      <c r="BN23" s="388">
        <v>69</v>
      </c>
      <c r="BO23" s="385">
        <v>8075</v>
      </c>
      <c r="BP23" s="407">
        <f t="shared" si="9"/>
        <v>0.2361111111111111</v>
      </c>
      <c r="BQ23" s="440" t="s">
        <v>497</v>
      </c>
      <c r="BR23" s="385"/>
      <c r="BS23" s="385"/>
      <c r="BT23" s="385"/>
      <c r="BU23" s="355"/>
      <c r="BV23" s="385"/>
      <c r="BW23" s="385" t="s">
        <v>498</v>
      </c>
      <c r="BX23" s="387">
        <v>45069</v>
      </c>
      <c r="BY23" s="388">
        <v>72</v>
      </c>
      <c r="BZ23" s="385">
        <v>8837.2000000000007</v>
      </c>
      <c r="CA23" s="648">
        <f t="shared" si="10"/>
        <v>4.6666666666669701E-2</v>
      </c>
      <c r="CB23" s="385" t="s">
        <v>499</v>
      </c>
      <c r="CC23" s="385"/>
      <c r="CD23" s="385"/>
      <c r="CH23" s="426">
        <v>0.49722222222222223</v>
      </c>
      <c r="CI23" s="408">
        <v>45198</v>
      </c>
      <c r="CJ23" s="385">
        <v>155</v>
      </c>
      <c r="CK23" s="385">
        <v>437</v>
      </c>
      <c r="CL23" s="389">
        <f t="shared" si="17"/>
        <v>9.7046413502109699E-2</v>
      </c>
      <c r="CM23" s="440">
        <v>5874</v>
      </c>
      <c r="CN23" s="385"/>
      <c r="CO23" s="385"/>
      <c r="CS23" s="451">
        <v>0.4826388888888889</v>
      </c>
      <c r="CT23" s="421">
        <v>45433</v>
      </c>
      <c r="CU23" s="452">
        <v>152</v>
      </c>
      <c r="CV23" s="452">
        <v>5859.5</v>
      </c>
      <c r="CW23" s="429">
        <f t="shared" si="31"/>
        <v>1.8846153846152448E-2</v>
      </c>
      <c r="CX23" s="452">
        <v>8238</v>
      </c>
      <c r="CY23" s="385" t="s">
        <v>346</v>
      </c>
      <c r="CZ23" s="385" t="s">
        <v>375</v>
      </c>
      <c r="DD23" s="426">
        <v>0.40763888888888888</v>
      </c>
      <c r="DE23" s="408">
        <v>45681</v>
      </c>
      <c r="DF23" s="385">
        <v>40</v>
      </c>
      <c r="DG23" s="385">
        <v>6152</v>
      </c>
      <c r="DH23" s="396">
        <f>DG23-DG22</f>
        <v>27</v>
      </c>
      <c r="DI23" s="385">
        <v>14017</v>
      </c>
      <c r="DJ23" s="385" t="s">
        <v>406</v>
      </c>
      <c r="DK23" s="440" t="s">
        <v>425</v>
      </c>
      <c r="DL23" s="385"/>
      <c r="DO23" s="451">
        <v>0.66666666666666663</v>
      </c>
      <c r="DP23" s="421">
        <v>45485</v>
      </c>
      <c r="DQ23" s="452">
        <v>97</v>
      </c>
      <c r="DR23" s="452"/>
      <c r="DS23" s="402">
        <f t="shared" si="2"/>
        <v>-1.4641638225255973</v>
      </c>
      <c r="DT23" s="452">
        <v>7833</v>
      </c>
      <c r="DU23" s="402" t="s">
        <v>308</v>
      </c>
      <c r="DV23" s="452" t="s">
        <v>390</v>
      </c>
      <c r="DX23" s="546" t="str">
        <f t="shared" si="24"/>
        <v>EX14 KOMATSU PC200</v>
      </c>
      <c r="DY23" s="547">
        <v>0.62777777777777777</v>
      </c>
      <c r="DZ23" s="577">
        <v>45652</v>
      </c>
      <c r="EA23" s="546">
        <v>132</v>
      </c>
      <c r="EB23" s="546">
        <v>531</v>
      </c>
      <c r="EC23" s="549">
        <f t="shared" si="3"/>
        <v>9.6618357487922704E-2</v>
      </c>
      <c r="ED23" s="546">
        <v>9164</v>
      </c>
      <c r="EE23" s="546" t="s">
        <v>312</v>
      </c>
      <c r="EF23" s="546" t="s">
        <v>390</v>
      </c>
      <c r="EG23" s="546" t="str">
        <f t="shared" si="30"/>
        <v>nissan</v>
      </c>
      <c r="EJ23" s="409" t="s">
        <v>376</v>
      </c>
      <c r="EK23" s="426">
        <v>0.37638888888888888</v>
      </c>
      <c r="EL23" s="408">
        <v>46017</v>
      </c>
      <c r="EM23" s="388">
        <v>97</v>
      </c>
      <c r="EN23" s="385">
        <v>1217</v>
      </c>
      <c r="EO23" s="427">
        <f t="shared" si="12"/>
        <v>24</v>
      </c>
      <c r="EP23" s="385">
        <v>9955</v>
      </c>
      <c r="EQ23" s="385" t="s">
        <v>351</v>
      </c>
      <c r="ER23" s="385" t="s">
        <v>304</v>
      </c>
      <c r="ES23" s="385"/>
      <c r="EW23" s="385"/>
      <c r="EX23" s="385"/>
      <c r="EY23" s="387">
        <v>45078</v>
      </c>
      <c r="EZ23" s="388">
        <v>91</v>
      </c>
      <c r="FA23" s="385">
        <v>4874</v>
      </c>
      <c r="FB23" s="407">
        <f t="shared" si="13"/>
        <v>0</v>
      </c>
      <c r="FC23" s="385" t="s">
        <v>500</v>
      </c>
      <c r="FD23" s="385"/>
      <c r="FE23" s="385"/>
      <c r="FG23" s="409" t="s">
        <v>289</v>
      </c>
      <c r="FH23" s="426">
        <v>0.41666666666666669</v>
      </c>
      <c r="FI23" s="408">
        <v>45826</v>
      </c>
      <c r="FJ23" s="385">
        <v>79</v>
      </c>
      <c r="FK23" s="385">
        <v>353</v>
      </c>
      <c r="FL23" s="407">
        <f t="shared" si="19"/>
        <v>0.45454545454545453</v>
      </c>
      <c r="FM23" s="385">
        <v>10579</v>
      </c>
      <c r="FN23" s="385" t="s">
        <v>392</v>
      </c>
      <c r="FO23" s="385" t="s">
        <v>501</v>
      </c>
      <c r="FP23" s="385" t="s">
        <v>340</v>
      </c>
      <c r="FR23" s="509" t="s">
        <v>288</v>
      </c>
      <c r="FS23" s="426">
        <v>0.59652777777777777</v>
      </c>
      <c r="FT23" s="408">
        <v>45404</v>
      </c>
      <c r="FU23" s="385">
        <v>70</v>
      </c>
      <c r="FV23" s="385">
        <v>2245.6</v>
      </c>
      <c r="FW23" s="630">
        <f>(FV23-FV22)/FU22</f>
        <v>0.47105263157894978</v>
      </c>
      <c r="FX23" s="385">
        <v>5378</v>
      </c>
      <c r="FY23" s="385" t="s">
        <v>502</v>
      </c>
      <c r="FZ23" s="385" t="s">
        <v>351</v>
      </c>
      <c r="GB23" s="442" t="s">
        <v>319</v>
      </c>
      <c r="GC23" s="416">
        <v>0.33680555555555558</v>
      </c>
      <c r="GD23" s="417">
        <v>45924</v>
      </c>
      <c r="GE23" s="418">
        <v>62</v>
      </c>
      <c r="GF23" s="649">
        <v>4156</v>
      </c>
      <c r="GG23" s="429">
        <f t="shared" si="28"/>
        <v>0</v>
      </c>
      <c r="GH23" s="385">
        <v>10989</v>
      </c>
      <c r="GI23" s="418"/>
      <c r="GJ23" s="418" t="s">
        <v>453</v>
      </c>
      <c r="GN23" s="426">
        <v>0.55625000000000002</v>
      </c>
      <c r="GO23" s="408">
        <v>45765</v>
      </c>
      <c r="GP23" s="385">
        <v>80</v>
      </c>
      <c r="GQ23" s="440">
        <v>5022</v>
      </c>
      <c r="GR23" s="407">
        <f t="shared" si="26"/>
        <v>0.20930232558139536</v>
      </c>
      <c r="GS23" s="610">
        <v>9505</v>
      </c>
      <c r="GT23" s="385" t="s">
        <v>470</v>
      </c>
      <c r="GU23" s="385" t="s">
        <v>108</v>
      </c>
      <c r="GX23" s="419" t="s">
        <v>290</v>
      </c>
      <c r="GY23" s="426">
        <v>0.32916666666666666</v>
      </c>
      <c r="GZ23" s="408">
        <v>45752</v>
      </c>
      <c r="HA23" s="385">
        <v>56</v>
      </c>
      <c r="HB23" s="385">
        <v>3194</v>
      </c>
      <c r="HC23" s="385">
        <f t="shared" si="29"/>
        <v>109</v>
      </c>
      <c r="HD23" s="385">
        <v>12107</v>
      </c>
      <c r="HE23" s="385" t="s">
        <v>322</v>
      </c>
      <c r="HF23" s="385" t="s">
        <v>408</v>
      </c>
      <c r="HT23" s="419" t="s">
        <v>324</v>
      </c>
      <c r="HU23" s="426">
        <v>0.4861111111111111</v>
      </c>
      <c r="HV23" s="408">
        <v>45796</v>
      </c>
      <c r="HW23" s="385">
        <v>10</v>
      </c>
      <c r="HX23" s="385">
        <v>1243.8</v>
      </c>
      <c r="HY23" s="385"/>
      <c r="HZ23" s="385">
        <v>9826</v>
      </c>
      <c r="IA23" s="385"/>
      <c r="IB23" s="646" t="s">
        <v>495</v>
      </c>
      <c r="IO23" s="399" t="s">
        <v>462</v>
      </c>
      <c r="IP23" s="491">
        <v>0.31111111111111112</v>
      </c>
      <c r="IQ23" s="513">
        <v>46083</v>
      </c>
      <c r="IR23" s="469">
        <v>34</v>
      </c>
      <c r="IS23" s="469">
        <v>160</v>
      </c>
      <c r="IT23" s="469">
        <v>0</v>
      </c>
      <c r="IU23" s="469">
        <v>13348</v>
      </c>
      <c r="IV23" s="539" t="s">
        <v>64</v>
      </c>
      <c r="IX23" s="419" t="s">
        <v>474</v>
      </c>
      <c r="IY23" s="426">
        <v>0.40972222222222221</v>
      </c>
      <c r="IZ23" s="408">
        <v>45923</v>
      </c>
      <c r="JA23" s="388">
        <v>15</v>
      </c>
      <c r="JB23" s="385">
        <v>1619</v>
      </c>
      <c r="JC23" s="385"/>
      <c r="JD23" s="385">
        <v>10983</v>
      </c>
      <c r="JE23" s="385"/>
      <c r="JF23" s="385" t="s">
        <v>172</v>
      </c>
      <c r="JW23" s="399" t="s">
        <v>293</v>
      </c>
      <c r="JX23" s="426">
        <v>0.82291666666666663</v>
      </c>
      <c r="JY23" s="408">
        <v>45782</v>
      </c>
      <c r="JZ23" s="385">
        <v>40</v>
      </c>
      <c r="KA23" s="385">
        <v>0</v>
      </c>
      <c r="KB23" s="385">
        <v>0</v>
      </c>
      <c r="KC23" s="385">
        <v>9249</v>
      </c>
      <c r="KD23" s="385" t="s">
        <v>435</v>
      </c>
      <c r="KE23" s="385" t="s">
        <v>149</v>
      </c>
      <c r="KX23" s="408"/>
      <c r="KY23" s="385"/>
      <c r="KZ23" s="385"/>
      <c r="LA23" s="407" t="e">
        <f t="shared" si="15"/>
        <v>#DIV/0!</v>
      </c>
      <c r="LB23" s="385"/>
      <c r="LE23" s="408"/>
      <c r="LF23" s="385"/>
      <c r="LG23" s="385"/>
      <c r="LH23" s="407" t="e">
        <f t="shared" si="16"/>
        <v>#DIV/0!</v>
      </c>
      <c r="LI23" s="385"/>
    </row>
    <row r="24" spans="2:321" ht="15.75" customHeight="1" x14ac:dyDescent="0.25">
      <c r="B24" s="640" t="s">
        <v>369</v>
      </c>
      <c r="C24" s="640"/>
      <c r="D24" s="421">
        <v>46031</v>
      </c>
      <c r="E24" s="452">
        <v>61</v>
      </c>
      <c r="F24" s="452"/>
      <c r="G24" s="452">
        <v>9909</v>
      </c>
      <c r="H24" s="452" t="s">
        <v>488</v>
      </c>
      <c r="I24" s="452" t="s">
        <v>489</v>
      </c>
      <c r="K24" s="354"/>
      <c r="L24" s="354"/>
      <c r="M24" s="354"/>
      <c r="N24" s="354"/>
      <c r="O24" s="354"/>
      <c r="R24" s="426">
        <v>0.64583333333333337</v>
      </c>
      <c r="S24" s="408">
        <v>45813</v>
      </c>
      <c r="T24" s="385">
        <v>34</v>
      </c>
      <c r="U24" s="385">
        <v>676</v>
      </c>
      <c r="V24" s="565">
        <f t="shared" si="23"/>
        <v>39.764705882352942</v>
      </c>
      <c r="W24" s="385">
        <v>10016</v>
      </c>
      <c r="X24" s="385" t="s">
        <v>67</v>
      </c>
      <c r="Y24" s="385" t="s">
        <v>434</v>
      </c>
      <c r="Z24" s="385"/>
      <c r="AD24" s="355"/>
      <c r="AE24" s="355"/>
      <c r="AF24" s="355"/>
      <c r="AG24" s="355"/>
      <c r="AH24" s="355"/>
      <c r="AI24" s="355"/>
      <c r="AJ24" s="355"/>
      <c r="AK24" s="355"/>
      <c r="AX24" s="442" t="s">
        <v>339</v>
      </c>
      <c r="AY24" s="426">
        <v>0.47638888888888886</v>
      </c>
      <c r="AZ24" s="408">
        <v>46032</v>
      </c>
      <c r="BA24" s="444">
        <v>220</v>
      </c>
      <c r="BB24" s="427">
        <v>3734</v>
      </c>
      <c r="BC24" s="427">
        <f t="shared" si="1"/>
        <v>15</v>
      </c>
      <c r="BD24" s="385">
        <v>9920</v>
      </c>
      <c r="BE24" s="385" t="s">
        <v>308</v>
      </c>
      <c r="BF24" s="385" t="s">
        <v>447</v>
      </c>
      <c r="BG24" s="470"/>
      <c r="BH24" s="355"/>
      <c r="BI24" s="355"/>
      <c r="BK24" s="385" t="s">
        <v>503</v>
      </c>
      <c r="BL24" s="385"/>
      <c r="BM24" s="387">
        <v>45103</v>
      </c>
      <c r="BN24" s="388">
        <v>93</v>
      </c>
      <c r="BO24" s="385">
        <v>8097</v>
      </c>
      <c r="BP24" s="407">
        <f t="shared" si="9"/>
        <v>0.3188405797101449</v>
      </c>
      <c r="BQ24" s="440" t="s">
        <v>504</v>
      </c>
      <c r="BR24" s="385"/>
      <c r="BS24" s="385"/>
      <c r="BT24" s="385"/>
      <c r="BU24" s="355"/>
      <c r="BV24" s="385"/>
      <c r="BW24" s="385" t="s">
        <v>498</v>
      </c>
      <c r="BX24" s="387">
        <v>45075</v>
      </c>
      <c r="BY24" s="388">
        <v>120</v>
      </c>
      <c r="BZ24" s="385">
        <v>8857.9</v>
      </c>
      <c r="CA24" s="648">
        <f t="shared" si="10"/>
        <v>0.28749999999998482</v>
      </c>
      <c r="CB24" s="385" t="s">
        <v>505</v>
      </c>
      <c r="CC24" s="385"/>
      <c r="CD24" s="385"/>
      <c r="CG24" s="442" t="s">
        <v>307</v>
      </c>
      <c r="CH24" s="650">
        <v>4.8111111111111109</v>
      </c>
      <c r="CI24" s="408">
        <v>45204</v>
      </c>
      <c r="CJ24" s="385">
        <v>189</v>
      </c>
      <c r="CK24" s="385">
        <v>462</v>
      </c>
      <c r="CL24" s="389">
        <f t="shared" si="17"/>
        <v>0.16129032258064516</v>
      </c>
      <c r="CM24" s="440">
        <v>5924</v>
      </c>
      <c r="CN24" s="385"/>
      <c r="CO24" s="385"/>
      <c r="CR24" s="399" t="s">
        <v>310</v>
      </c>
      <c r="CS24" s="426">
        <v>0.51041666666666663</v>
      </c>
      <c r="CT24" s="408">
        <v>45439</v>
      </c>
      <c r="CU24" s="385">
        <v>108</v>
      </c>
      <c r="CV24" s="385">
        <v>5928.3</v>
      </c>
      <c r="CW24" s="429">
        <f t="shared" si="31"/>
        <v>0.45263157894736961</v>
      </c>
      <c r="CX24" s="385">
        <v>4145</v>
      </c>
      <c r="CY24" s="385" t="s">
        <v>346</v>
      </c>
      <c r="CZ24" s="385" t="s">
        <v>375</v>
      </c>
      <c r="DD24" s="426">
        <v>0.65833333333333333</v>
      </c>
      <c r="DE24" s="408">
        <v>45688</v>
      </c>
      <c r="DF24" s="385">
        <v>36</v>
      </c>
      <c r="DG24" s="385">
        <v>6176</v>
      </c>
      <c r="DH24" s="651">
        <f>DG24-DG23</f>
        <v>24</v>
      </c>
      <c r="DI24" s="385">
        <v>9012</v>
      </c>
      <c r="DJ24" s="385" t="s">
        <v>406</v>
      </c>
      <c r="DK24" s="440" t="s">
        <v>425</v>
      </c>
      <c r="DL24" s="385"/>
      <c r="DN24" s="399" t="s">
        <v>60</v>
      </c>
      <c r="DO24" s="451"/>
      <c r="DP24" s="421">
        <v>45490</v>
      </c>
      <c r="DQ24" s="452">
        <v>362</v>
      </c>
      <c r="DR24" s="452">
        <v>463</v>
      </c>
      <c r="DS24" s="402">
        <f t="shared" si="2"/>
        <v>4.7731958762886597</v>
      </c>
      <c r="DT24" s="452">
        <v>8609</v>
      </c>
      <c r="DU24" s="402" t="s">
        <v>308</v>
      </c>
      <c r="DV24" s="452" t="s">
        <v>390</v>
      </c>
      <c r="DX24" s="599" t="str">
        <f t="shared" si="24"/>
        <v>EX14 KOMATSU PC200</v>
      </c>
      <c r="DY24" s="547">
        <v>0.53819444444444442</v>
      </c>
      <c r="DZ24" s="577">
        <v>45663</v>
      </c>
      <c r="EA24" s="546">
        <v>98</v>
      </c>
      <c r="EB24" s="546">
        <v>553.9</v>
      </c>
      <c r="EC24" s="549">
        <f t="shared" si="3"/>
        <v>0.17348484848484833</v>
      </c>
      <c r="ED24" s="546">
        <v>15012</v>
      </c>
      <c r="EE24" s="546" t="s">
        <v>388</v>
      </c>
      <c r="EF24" s="546" t="s">
        <v>506</v>
      </c>
      <c r="EG24" s="546" t="str">
        <f t="shared" si="30"/>
        <v>nissan</v>
      </c>
      <c r="EJ24" s="409" t="s">
        <v>376</v>
      </c>
      <c r="EK24" s="426">
        <v>0.67500000000000004</v>
      </c>
      <c r="EL24" s="408">
        <v>46024</v>
      </c>
      <c r="EM24" s="388">
        <v>106</v>
      </c>
      <c r="EN24" s="385">
        <v>1251</v>
      </c>
      <c r="EO24" s="427">
        <f t="shared" si="12"/>
        <v>34</v>
      </c>
      <c r="EP24" s="385">
        <v>9977</v>
      </c>
      <c r="EQ24" s="385" t="s">
        <v>351</v>
      </c>
      <c r="ER24" s="385" t="s">
        <v>304</v>
      </c>
      <c r="ES24" s="385"/>
      <c r="EW24" s="385"/>
      <c r="EX24" s="385"/>
      <c r="EY24" s="387">
        <v>45082</v>
      </c>
      <c r="EZ24" s="388">
        <v>26</v>
      </c>
      <c r="FA24" s="385">
        <v>4874.5200000000004</v>
      </c>
      <c r="FB24" s="407">
        <f t="shared" si="13"/>
        <v>5.7142857142905117E-3</v>
      </c>
      <c r="FC24" s="385" t="s">
        <v>507</v>
      </c>
      <c r="FD24" s="385"/>
      <c r="FE24" s="385"/>
      <c r="FH24" s="451">
        <v>0.59444444444444444</v>
      </c>
      <c r="FI24" s="421">
        <v>45828</v>
      </c>
      <c r="FJ24" s="452">
        <v>70</v>
      </c>
      <c r="FK24" s="452">
        <v>405</v>
      </c>
      <c r="FL24" s="511">
        <f>FK24-FK23</f>
        <v>52</v>
      </c>
      <c r="FM24" s="452">
        <v>10752</v>
      </c>
      <c r="FN24" s="452" t="s">
        <v>392</v>
      </c>
      <c r="FO24" s="452" t="s">
        <v>508</v>
      </c>
      <c r="FP24" s="452"/>
      <c r="FR24" s="509" t="s">
        <v>288</v>
      </c>
      <c r="FS24" s="426">
        <v>0.69027777777777777</v>
      </c>
      <c r="FT24" s="408">
        <v>45406</v>
      </c>
      <c r="FU24" s="385">
        <v>50</v>
      </c>
      <c r="FV24" s="385">
        <v>2259.5</v>
      </c>
      <c r="FW24" s="630">
        <f>(FV24-FV23)/FU23</f>
        <v>0.19857142857142987</v>
      </c>
      <c r="FX24" s="385">
        <v>5507</v>
      </c>
      <c r="FY24" s="385"/>
      <c r="FZ24" s="385" t="s">
        <v>351</v>
      </c>
      <c r="GB24" s="442" t="s">
        <v>319</v>
      </c>
      <c r="GC24" s="416">
        <v>0.47708333333333336</v>
      </c>
      <c r="GD24" s="417">
        <v>45929</v>
      </c>
      <c r="GE24" s="418">
        <v>74</v>
      </c>
      <c r="GF24" s="418">
        <v>4200</v>
      </c>
      <c r="GG24" s="429">
        <f t="shared" si="28"/>
        <v>44</v>
      </c>
      <c r="GH24" s="385">
        <v>10915</v>
      </c>
      <c r="GI24" s="418"/>
      <c r="GJ24" s="418" t="s">
        <v>453</v>
      </c>
      <c r="GM24" s="419" t="s">
        <v>321</v>
      </c>
      <c r="GN24" s="551"/>
      <c r="GO24" s="552">
        <v>45766</v>
      </c>
      <c r="GP24" s="393">
        <v>20</v>
      </c>
      <c r="GQ24" s="652"/>
      <c r="GR24" s="653">
        <f t="shared" si="26"/>
        <v>-62.774999999999999</v>
      </c>
      <c r="GS24" s="654">
        <v>10110</v>
      </c>
      <c r="GT24" s="655" t="s">
        <v>470</v>
      </c>
      <c r="GU24" s="655" t="s">
        <v>407</v>
      </c>
      <c r="GV24" s="633" t="s">
        <v>387</v>
      </c>
      <c r="GY24" s="426">
        <v>0.40694444444444444</v>
      </c>
      <c r="GZ24" s="408">
        <v>45758</v>
      </c>
      <c r="HA24" s="385">
        <v>37</v>
      </c>
      <c r="HB24" s="385">
        <v>3210</v>
      </c>
      <c r="HC24" s="385">
        <f t="shared" si="29"/>
        <v>16</v>
      </c>
      <c r="HD24" s="385">
        <v>7472</v>
      </c>
      <c r="HE24" s="385" t="s">
        <v>322</v>
      </c>
      <c r="HF24" s="385" t="s">
        <v>408</v>
      </c>
      <c r="HT24" s="419" t="s">
        <v>324</v>
      </c>
      <c r="HU24" s="426">
        <v>0.65347222222222223</v>
      </c>
      <c r="HV24" s="408">
        <v>45805</v>
      </c>
      <c r="HW24" s="385">
        <v>17</v>
      </c>
      <c r="HX24" s="385">
        <v>1250</v>
      </c>
      <c r="HY24" s="385"/>
      <c r="HZ24" s="385">
        <v>9862</v>
      </c>
      <c r="IA24" s="385"/>
      <c r="IB24" s="502" t="s">
        <v>509</v>
      </c>
      <c r="IX24" s="419" t="s">
        <v>474</v>
      </c>
      <c r="IY24" s="426">
        <v>0.3888888888888889</v>
      </c>
      <c r="IZ24" s="408">
        <v>45929</v>
      </c>
      <c r="JA24" s="388">
        <v>8</v>
      </c>
      <c r="JB24" s="385">
        <v>1625</v>
      </c>
      <c r="JC24" s="385"/>
      <c r="JD24" s="385">
        <v>10914</v>
      </c>
      <c r="JE24" s="385"/>
      <c r="JF24" s="385" t="s">
        <v>172</v>
      </c>
      <c r="JX24" s="426">
        <v>0.68055555555555558</v>
      </c>
      <c r="JY24" s="408">
        <v>45786</v>
      </c>
      <c r="JZ24" s="385">
        <v>30</v>
      </c>
      <c r="KA24" s="385">
        <v>0</v>
      </c>
      <c r="KB24" s="385">
        <v>0</v>
      </c>
      <c r="KC24" s="385">
        <v>9285</v>
      </c>
      <c r="KD24" s="385" t="s">
        <v>435</v>
      </c>
      <c r="KE24" s="385" t="s">
        <v>149</v>
      </c>
      <c r="KW24" s="442"/>
      <c r="KX24" s="408"/>
      <c r="KY24" s="385"/>
      <c r="KZ24" s="385"/>
      <c r="LA24" s="407" t="e">
        <f t="shared" si="15"/>
        <v>#DIV/0!</v>
      </c>
      <c r="LB24" s="385"/>
      <c r="LD24" s="442"/>
      <c r="LE24" s="408"/>
      <c r="LF24" s="385"/>
      <c r="LG24" s="385"/>
      <c r="LH24" s="407" t="e">
        <f t="shared" si="16"/>
        <v>#DIV/0!</v>
      </c>
      <c r="LI24" s="385"/>
    </row>
    <row r="25" spans="2:321" ht="15.75" customHeight="1" x14ac:dyDescent="0.25">
      <c r="B25" s="640" t="s">
        <v>369</v>
      </c>
      <c r="C25" s="640"/>
      <c r="D25" s="421">
        <v>46032</v>
      </c>
      <c r="E25" s="452">
        <v>27</v>
      </c>
      <c r="F25" s="452"/>
      <c r="G25" s="452">
        <v>9922</v>
      </c>
      <c r="H25" s="452" t="s">
        <v>488</v>
      </c>
      <c r="I25" s="452" t="s">
        <v>489</v>
      </c>
      <c r="K25" s="354"/>
      <c r="L25" s="354"/>
      <c r="M25" s="354"/>
      <c r="N25" s="354"/>
      <c r="O25" s="354"/>
      <c r="Q25" s="409" t="s">
        <v>427</v>
      </c>
      <c r="R25" s="426">
        <v>0.70138888888888884</v>
      </c>
      <c r="S25" s="408">
        <v>45817</v>
      </c>
      <c r="T25" s="385">
        <v>38</v>
      </c>
      <c r="U25" s="385">
        <v>691</v>
      </c>
      <c r="V25" s="565">
        <f t="shared" si="23"/>
        <v>1.7</v>
      </c>
      <c r="W25" s="385"/>
      <c r="X25" s="385" t="s">
        <v>67</v>
      </c>
      <c r="Y25" s="385" t="s">
        <v>434</v>
      </c>
      <c r="Z25" s="385"/>
      <c r="AB25" s="656" t="s">
        <v>432</v>
      </c>
      <c r="AC25" s="598">
        <f>AC26+250</f>
        <v>5000</v>
      </c>
      <c r="AD25" s="355"/>
      <c r="AE25" s="355"/>
      <c r="AF25" s="355"/>
      <c r="AG25" s="355"/>
      <c r="AH25" s="355"/>
      <c r="AI25" s="355"/>
      <c r="AJ25" s="355"/>
      <c r="AK25" s="355"/>
      <c r="AX25" s="442" t="s">
        <v>339</v>
      </c>
      <c r="AY25" s="426">
        <v>0.51111111111111107</v>
      </c>
      <c r="AZ25" s="408">
        <v>46042</v>
      </c>
      <c r="BA25" s="444">
        <v>334</v>
      </c>
      <c r="BB25" s="427">
        <v>3750</v>
      </c>
      <c r="BC25" s="427">
        <f t="shared" si="1"/>
        <v>16</v>
      </c>
      <c r="BD25" s="385">
        <v>10628</v>
      </c>
      <c r="BE25" s="385" t="s">
        <v>388</v>
      </c>
      <c r="BF25" s="385" t="s">
        <v>510</v>
      </c>
      <c r="BG25" s="470"/>
      <c r="BH25" s="355"/>
      <c r="BI25" s="355"/>
      <c r="BK25" s="385"/>
      <c r="BL25" s="385"/>
      <c r="BM25" s="387">
        <v>45105</v>
      </c>
      <c r="BN25" s="388">
        <v>100</v>
      </c>
      <c r="BO25" s="385">
        <v>8113</v>
      </c>
      <c r="BP25" s="407">
        <f t="shared" si="9"/>
        <v>0.17204301075268819</v>
      </c>
      <c r="BQ25" s="440" t="s">
        <v>511</v>
      </c>
      <c r="BR25" s="385"/>
      <c r="BS25" s="385"/>
      <c r="BT25" s="385"/>
      <c r="BU25" s="355"/>
      <c r="BV25" s="385"/>
      <c r="BW25" s="385" t="s">
        <v>498</v>
      </c>
      <c r="BX25" s="387">
        <v>45080</v>
      </c>
      <c r="BY25" s="388">
        <v>120</v>
      </c>
      <c r="BZ25" s="385">
        <v>8882.1</v>
      </c>
      <c r="CA25" s="648">
        <f t="shared" si="10"/>
        <v>0.20166666666667274</v>
      </c>
      <c r="CB25" s="385" t="s">
        <v>512</v>
      </c>
      <c r="CC25" s="385"/>
      <c r="CD25" s="385"/>
      <c r="CG25" s="442" t="s">
        <v>307</v>
      </c>
      <c r="CH25" s="426">
        <v>0.61736111111111114</v>
      </c>
      <c r="CI25" s="408">
        <v>45225</v>
      </c>
      <c r="CJ25" s="385">
        <v>161</v>
      </c>
      <c r="CK25" s="385">
        <v>485</v>
      </c>
      <c r="CL25" s="389">
        <f t="shared" si="17"/>
        <v>0.12169312169312169</v>
      </c>
      <c r="CM25" s="440">
        <v>6808</v>
      </c>
      <c r="CN25" s="385"/>
      <c r="CO25" s="385"/>
      <c r="CS25" s="451">
        <v>0.51736111111111116</v>
      </c>
      <c r="CT25" s="421">
        <v>45442</v>
      </c>
      <c r="CU25" s="452">
        <v>280</v>
      </c>
      <c r="CV25" s="452">
        <v>5953.2</v>
      </c>
      <c r="CW25" s="429">
        <f t="shared" si="31"/>
        <v>0.23055555555555218</v>
      </c>
      <c r="CX25" s="452">
        <v>5692</v>
      </c>
      <c r="CY25" s="385" t="s">
        <v>346</v>
      </c>
      <c r="CZ25" s="385" t="s">
        <v>375</v>
      </c>
      <c r="DC25" s="415" t="s">
        <v>311</v>
      </c>
      <c r="DD25" s="426">
        <v>0.42430555555555555</v>
      </c>
      <c r="DE25" s="408">
        <v>45710</v>
      </c>
      <c r="DF25" s="385">
        <v>44</v>
      </c>
      <c r="DG25" s="385"/>
      <c r="DH25" s="651">
        <f>DG25-DG24</f>
        <v>-6176</v>
      </c>
      <c r="DI25" s="385">
        <v>15075</v>
      </c>
      <c r="DJ25" s="385" t="s">
        <v>513</v>
      </c>
      <c r="DK25" s="440" t="s">
        <v>425</v>
      </c>
      <c r="DL25" s="385"/>
      <c r="DN25" s="399" t="s">
        <v>60</v>
      </c>
      <c r="DO25" s="426">
        <v>0.34722222222222221</v>
      </c>
      <c r="DP25" s="408">
        <v>45495</v>
      </c>
      <c r="DQ25" s="385">
        <v>386</v>
      </c>
      <c r="DR25" s="385"/>
      <c r="DS25" s="402">
        <f t="shared" si="2"/>
        <v>-1.2790055248618784</v>
      </c>
      <c r="DT25" s="385">
        <v>8641</v>
      </c>
      <c r="DU25" s="402" t="s">
        <v>308</v>
      </c>
      <c r="DV25" s="385" t="s">
        <v>390</v>
      </c>
      <c r="DX25" s="399" t="s">
        <v>286</v>
      </c>
      <c r="DY25" s="451">
        <v>0.72777777777777775</v>
      </c>
      <c r="DZ25" s="421">
        <v>45675</v>
      </c>
      <c r="EA25" s="452">
        <v>285</v>
      </c>
      <c r="EB25" s="452">
        <v>577.29999999999995</v>
      </c>
      <c r="EC25" s="402">
        <f t="shared" si="3"/>
        <v>0.23877551020408139</v>
      </c>
      <c r="ED25" s="452">
        <v>13010</v>
      </c>
      <c r="EE25" s="452" t="s">
        <v>388</v>
      </c>
      <c r="EF25" s="452" t="s">
        <v>506</v>
      </c>
      <c r="EG25" s="452"/>
      <c r="EJ25" s="409" t="s">
        <v>376</v>
      </c>
      <c r="EK25" s="426">
        <v>0.43958333333333333</v>
      </c>
      <c r="EL25" s="408">
        <v>46029</v>
      </c>
      <c r="EM25" s="388">
        <v>39</v>
      </c>
      <c r="EN25" s="385">
        <v>1264</v>
      </c>
      <c r="EO25" s="427">
        <f t="shared" si="12"/>
        <v>13</v>
      </c>
      <c r="EP25" s="385">
        <v>9997</v>
      </c>
      <c r="EQ25" s="385" t="s">
        <v>351</v>
      </c>
      <c r="ER25" s="385" t="s">
        <v>304</v>
      </c>
      <c r="ES25" s="385"/>
      <c r="EW25" s="385"/>
      <c r="EX25" s="385"/>
      <c r="EY25" s="387">
        <v>45084</v>
      </c>
      <c r="EZ25" s="388">
        <v>85</v>
      </c>
      <c r="FA25" s="385">
        <v>4874.5200000000004</v>
      </c>
      <c r="FB25" s="407">
        <f t="shared" si="13"/>
        <v>0</v>
      </c>
      <c r="FC25" s="385" t="s">
        <v>514</v>
      </c>
      <c r="FD25" s="385"/>
      <c r="FE25" s="385"/>
      <c r="FG25" s="409" t="s">
        <v>289</v>
      </c>
      <c r="FH25" s="426">
        <v>0.61527777777777781</v>
      </c>
      <c r="FI25" s="408">
        <v>45880</v>
      </c>
      <c r="FJ25" s="385">
        <v>83</v>
      </c>
      <c r="FK25" s="385">
        <v>486</v>
      </c>
      <c r="FL25" s="511">
        <f t="shared" ref="FL25:FL54" si="32">FK25-FK24</f>
        <v>81</v>
      </c>
      <c r="FM25" s="385">
        <v>9924</v>
      </c>
      <c r="FN25" s="385" t="s">
        <v>149</v>
      </c>
      <c r="FO25" s="385" t="s">
        <v>370</v>
      </c>
      <c r="FP25" s="385"/>
      <c r="FR25" s="509" t="s">
        <v>288</v>
      </c>
      <c r="FS25" s="426">
        <v>0.40763888888888888</v>
      </c>
      <c r="FT25" s="408">
        <v>45409</v>
      </c>
      <c r="FU25" s="385">
        <v>100</v>
      </c>
      <c r="FV25" s="385"/>
      <c r="FW25" s="630"/>
      <c r="FX25" s="385">
        <v>5529</v>
      </c>
      <c r="FY25" s="385"/>
      <c r="FZ25" s="385" t="s">
        <v>351</v>
      </c>
      <c r="GB25" s="442" t="s">
        <v>319</v>
      </c>
      <c r="GC25" s="416">
        <v>0.50347222222222221</v>
      </c>
      <c r="GD25" s="417">
        <v>45936</v>
      </c>
      <c r="GE25" s="418">
        <v>64</v>
      </c>
      <c r="GF25" s="418">
        <v>4201</v>
      </c>
      <c r="GG25" s="429">
        <f t="shared" si="28"/>
        <v>1</v>
      </c>
      <c r="GH25" s="385">
        <v>10853</v>
      </c>
      <c r="GI25" s="418"/>
      <c r="GJ25" s="418" t="s">
        <v>453</v>
      </c>
      <c r="GN25" s="426">
        <v>0.63263888888888886</v>
      </c>
      <c r="GO25" s="408">
        <v>45769</v>
      </c>
      <c r="GP25" s="385">
        <v>28</v>
      </c>
      <c r="GQ25" s="385">
        <v>5033</v>
      </c>
      <c r="GR25" s="477">
        <f t="shared" si="26"/>
        <v>251.65</v>
      </c>
      <c r="GS25" s="385">
        <v>9545</v>
      </c>
      <c r="GT25" s="385" t="s">
        <v>470</v>
      </c>
      <c r="GU25" s="385"/>
      <c r="GV25" s="385"/>
      <c r="GX25" s="419" t="s">
        <v>290</v>
      </c>
      <c r="GY25" s="451">
        <v>0.54861111111111116</v>
      </c>
      <c r="GZ25" s="421">
        <v>45764</v>
      </c>
      <c r="HA25" s="452">
        <v>15</v>
      </c>
      <c r="HB25" s="452">
        <v>3218</v>
      </c>
      <c r="HC25" s="452">
        <f t="shared" si="29"/>
        <v>8</v>
      </c>
      <c r="HD25" s="452">
        <v>10132</v>
      </c>
      <c r="HE25" s="452" t="s">
        <v>322</v>
      </c>
      <c r="HF25" s="452" t="s">
        <v>408</v>
      </c>
      <c r="HU25" s="426">
        <v>0.69166666666666665</v>
      </c>
      <c r="HV25" s="408">
        <v>45806</v>
      </c>
      <c r="HW25" s="385">
        <v>9</v>
      </c>
      <c r="HX25" s="385">
        <v>1254</v>
      </c>
      <c r="HY25" s="385"/>
      <c r="HZ25" s="385">
        <v>9878</v>
      </c>
      <c r="IA25" s="385"/>
      <c r="IB25" s="502" t="s">
        <v>509</v>
      </c>
      <c r="IV25" s="355"/>
      <c r="IW25" s="355"/>
      <c r="IX25" s="419" t="s">
        <v>474</v>
      </c>
      <c r="IY25" s="426">
        <v>0.44097222222222221</v>
      </c>
      <c r="IZ25" s="408">
        <v>45946</v>
      </c>
      <c r="JA25" s="388">
        <v>19</v>
      </c>
      <c r="JB25" s="385">
        <v>1633</v>
      </c>
      <c r="JC25" s="385"/>
      <c r="JD25" s="385">
        <v>10892</v>
      </c>
      <c r="JE25" s="385"/>
      <c r="JF25" s="385" t="s">
        <v>172</v>
      </c>
      <c r="JW25" s="399" t="s">
        <v>293</v>
      </c>
      <c r="JX25" s="426">
        <v>0.375</v>
      </c>
      <c r="JY25" s="408">
        <v>45824</v>
      </c>
      <c r="JZ25" s="385">
        <v>71</v>
      </c>
      <c r="KA25" s="385">
        <v>0</v>
      </c>
      <c r="KB25" s="385">
        <v>0</v>
      </c>
      <c r="KC25" s="385">
        <v>8858</v>
      </c>
      <c r="KD25" s="385" t="s">
        <v>435</v>
      </c>
      <c r="KE25" s="385" t="s">
        <v>149</v>
      </c>
      <c r="KF25" s="657" t="s">
        <v>515</v>
      </c>
      <c r="KW25" s="442"/>
      <c r="KX25" s="408"/>
      <c r="KY25" s="385"/>
      <c r="KZ25" s="385"/>
      <c r="LA25" s="407" t="e">
        <f t="shared" si="15"/>
        <v>#DIV/0!</v>
      </c>
      <c r="LB25" s="385"/>
      <c r="LD25" s="442"/>
      <c r="LE25" s="408"/>
      <c r="LF25" s="385"/>
      <c r="LG25" s="385"/>
      <c r="LH25" s="407" t="e">
        <f t="shared" si="16"/>
        <v>#DIV/0!</v>
      </c>
      <c r="LI25" s="385"/>
    </row>
    <row r="26" spans="2:321" ht="15.75" customHeight="1" x14ac:dyDescent="0.25">
      <c r="B26" s="640" t="s">
        <v>369</v>
      </c>
      <c r="C26" s="640"/>
      <c r="D26" s="421">
        <v>11</v>
      </c>
      <c r="E26" s="452">
        <v>26</v>
      </c>
      <c r="F26" s="452"/>
      <c r="G26" s="452">
        <v>9923</v>
      </c>
      <c r="H26" s="452" t="s">
        <v>488</v>
      </c>
      <c r="I26" s="452" t="s">
        <v>489</v>
      </c>
      <c r="K26" s="354"/>
      <c r="L26" s="354"/>
      <c r="M26" s="354"/>
      <c r="N26" s="354"/>
      <c r="O26" s="354"/>
      <c r="R26" s="426">
        <v>0.75694444444444442</v>
      </c>
      <c r="S26" s="408">
        <v>45819</v>
      </c>
      <c r="T26" s="385">
        <v>92</v>
      </c>
      <c r="U26" s="385">
        <v>700</v>
      </c>
      <c r="V26" s="565">
        <f t="shared" si="23"/>
        <v>0.70588235294117652</v>
      </c>
      <c r="W26" s="385">
        <v>10080</v>
      </c>
      <c r="X26" s="385" t="s">
        <v>67</v>
      </c>
      <c r="Y26" s="385" t="s">
        <v>434</v>
      </c>
      <c r="Z26" s="385" t="s">
        <v>516</v>
      </c>
      <c r="AB26" s="656" t="s">
        <v>438</v>
      </c>
      <c r="AC26" s="598">
        <v>4750</v>
      </c>
      <c r="AD26" s="355"/>
      <c r="AE26" s="355"/>
      <c r="AF26" s="355"/>
      <c r="AG26" s="355"/>
      <c r="AH26" s="355"/>
      <c r="AI26" s="355"/>
      <c r="AJ26" s="355"/>
      <c r="AK26" s="355"/>
      <c r="AY26" s="426">
        <v>0.70625000000000004</v>
      </c>
      <c r="AZ26" s="408">
        <v>46044</v>
      </c>
      <c r="BA26" s="444">
        <v>298</v>
      </c>
      <c r="BB26" s="608">
        <v>3750</v>
      </c>
      <c r="BC26" s="427">
        <f t="shared" si="1"/>
        <v>0</v>
      </c>
      <c r="BD26" s="385">
        <v>10648</v>
      </c>
      <c r="BE26" s="385" t="s">
        <v>388</v>
      </c>
      <c r="BF26" s="385" t="s">
        <v>510</v>
      </c>
      <c r="BG26" s="470"/>
      <c r="BH26" s="355"/>
      <c r="BI26" s="355"/>
      <c r="BK26" s="385"/>
      <c r="BL26" s="385"/>
      <c r="BM26" s="387">
        <v>45107</v>
      </c>
      <c r="BN26" s="388">
        <v>60</v>
      </c>
      <c r="BO26" s="385">
        <v>8135</v>
      </c>
      <c r="BP26" s="407">
        <f t="shared" si="9"/>
        <v>0.22</v>
      </c>
      <c r="BQ26" s="440" t="s">
        <v>517</v>
      </c>
      <c r="BR26" s="385"/>
      <c r="BS26" s="385"/>
      <c r="BT26" s="385"/>
      <c r="BU26" s="355"/>
      <c r="BV26" s="385"/>
      <c r="BW26" s="385" t="s">
        <v>498</v>
      </c>
      <c r="BX26" s="387">
        <v>45084</v>
      </c>
      <c r="BY26" s="388">
        <v>80</v>
      </c>
      <c r="BZ26" s="385">
        <v>8895.9</v>
      </c>
      <c r="CA26" s="648">
        <f t="shared" si="10"/>
        <v>0.11499999999999394</v>
      </c>
      <c r="CB26" s="385" t="s">
        <v>518</v>
      </c>
      <c r="CC26" s="385"/>
      <c r="CD26" s="385"/>
      <c r="CG26" s="442" t="s">
        <v>307</v>
      </c>
      <c r="CH26" s="451">
        <v>0.67361111111111116</v>
      </c>
      <c r="CI26" s="421">
        <v>45231</v>
      </c>
      <c r="CJ26" s="452">
        <v>172</v>
      </c>
      <c r="CK26" s="452">
        <v>510</v>
      </c>
      <c r="CL26" s="527">
        <f t="shared" si="17"/>
        <v>0.15527950310559005</v>
      </c>
      <c r="CM26" s="476">
        <v>6857</v>
      </c>
      <c r="CN26" s="452"/>
      <c r="CO26" s="448"/>
      <c r="CR26" s="399" t="s">
        <v>310</v>
      </c>
      <c r="CS26" s="426">
        <v>0.41180555555555554</v>
      </c>
      <c r="CT26" s="408">
        <v>45446</v>
      </c>
      <c r="CU26" s="385">
        <v>200</v>
      </c>
      <c r="CV26" s="385">
        <v>5969.9</v>
      </c>
      <c r="CW26" s="429">
        <f t="shared" si="31"/>
        <v>5.9642857142856491E-2</v>
      </c>
      <c r="CX26" s="385">
        <v>3721</v>
      </c>
      <c r="CY26" s="385" t="s">
        <v>346</v>
      </c>
      <c r="CZ26" s="385" t="s">
        <v>375</v>
      </c>
      <c r="DD26" s="426">
        <v>0.625</v>
      </c>
      <c r="DE26" s="408">
        <v>45714</v>
      </c>
      <c r="DF26" s="385">
        <v>40</v>
      </c>
      <c r="DG26" s="385"/>
      <c r="DH26" s="651">
        <f>DG26-DG25</f>
        <v>0</v>
      </c>
      <c r="DI26" s="385" t="s">
        <v>519</v>
      </c>
      <c r="DJ26" s="385" t="s">
        <v>520</v>
      </c>
      <c r="DK26" s="440" t="s">
        <v>521</v>
      </c>
      <c r="DL26" s="385"/>
      <c r="DO26" s="426">
        <v>0.71319444444444446</v>
      </c>
      <c r="DP26" s="408">
        <v>45498</v>
      </c>
      <c r="DQ26" s="385">
        <v>384</v>
      </c>
      <c r="DR26" s="385">
        <v>513</v>
      </c>
      <c r="DS26" s="402">
        <f t="shared" si="2"/>
        <v>1.3290155440414508</v>
      </c>
      <c r="DT26" s="385">
        <v>8677</v>
      </c>
      <c r="DU26" s="402" t="s">
        <v>308</v>
      </c>
      <c r="DV26" s="385" t="s">
        <v>390</v>
      </c>
      <c r="DX26" s="399" t="s">
        <v>286</v>
      </c>
      <c r="DY26" s="426">
        <v>0.81388888888888888</v>
      </c>
      <c r="DZ26" s="421">
        <v>45686</v>
      </c>
      <c r="EA26" s="452">
        <v>285</v>
      </c>
      <c r="EB26" s="452">
        <v>613.20000000000005</v>
      </c>
      <c r="EC26" s="402">
        <f t="shared" si="3"/>
        <v>0.12596491228070208</v>
      </c>
      <c r="ED26" s="452">
        <v>14046</v>
      </c>
      <c r="EE26" s="452" t="s">
        <v>388</v>
      </c>
      <c r="EF26" s="452" t="s">
        <v>506</v>
      </c>
      <c r="EG26" s="385"/>
      <c r="EJ26" s="409" t="s">
        <v>376</v>
      </c>
      <c r="EK26" s="426">
        <v>0.41041666666666665</v>
      </c>
      <c r="EL26" s="408">
        <v>46036</v>
      </c>
      <c r="EM26" s="388">
        <v>79</v>
      </c>
      <c r="EN26" s="385">
        <v>1290</v>
      </c>
      <c r="EO26" s="427">
        <f t="shared" si="12"/>
        <v>26</v>
      </c>
      <c r="EP26" s="385">
        <v>9939</v>
      </c>
      <c r="EQ26" s="385" t="s">
        <v>351</v>
      </c>
      <c r="ER26" s="385" t="s">
        <v>304</v>
      </c>
      <c r="ES26" s="385"/>
      <c r="EW26" s="385"/>
      <c r="EX26" s="385"/>
      <c r="EY26" s="387">
        <v>45085</v>
      </c>
      <c r="EZ26" s="388">
        <v>65</v>
      </c>
      <c r="FA26" s="385">
        <v>4874.5200000000004</v>
      </c>
      <c r="FB26" s="407">
        <f t="shared" si="13"/>
        <v>0</v>
      </c>
      <c r="FC26" s="385" t="s">
        <v>522</v>
      </c>
      <c r="FD26" s="385"/>
      <c r="FE26" s="385"/>
      <c r="FG26" s="409" t="s">
        <v>289</v>
      </c>
      <c r="FH26" s="426">
        <v>0.6645833333333333</v>
      </c>
      <c r="FI26" s="408">
        <v>45895</v>
      </c>
      <c r="FJ26" s="385">
        <v>75</v>
      </c>
      <c r="FK26" s="385">
        <v>453</v>
      </c>
      <c r="FL26" s="511">
        <f t="shared" si="32"/>
        <v>-33</v>
      </c>
      <c r="FM26" s="385">
        <v>10284</v>
      </c>
      <c r="FN26" s="385" t="s">
        <v>523</v>
      </c>
      <c r="FO26" s="385" t="s">
        <v>172</v>
      </c>
      <c r="FP26" s="385"/>
      <c r="FR26" s="509" t="s">
        <v>288</v>
      </c>
      <c r="FS26" s="426">
        <v>0.35347222222222224</v>
      </c>
      <c r="FT26" s="408">
        <v>45418</v>
      </c>
      <c r="FU26" s="385">
        <v>41</v>
      </c>
      <c r="FV26" s="385"/>
      <c r="FW26" s="630"/>
      <c r="FX26" s="385">
        <v>5604</v>
      </c>
      <c r="FY26" s="385" t="s">
        <v>502</v>
      </c>
      <c r="FZ26" s="385" t="s">
        <v>351</v>
      </c>
      <c r="GB26" s="442" t="s">
        <v>319</v>
      </c>
      <c r="GC26" s="416">
        <v>0.40277777777777779</v>
      </c>
      <c r="GD26" s="417">
        <v>45941</v>
      </c>
      <c r="GE26" s="418">
        <v>60</v>
      </c>
      <c r="GF26" s="418">
        <v>4210</v>
      </c>
      <c r="GG26" s="429">
        <f t="shared" si="28"/>
        <v>9</v>
      </c>
      <c r="GH26" s="385">
        <v>10867</v>
      </c>
      <c r="GI26" s="418"/>
      <c r="GJ26" s="418" t="s">
        <v>453</v>
      </c>
      <c r="GK26" s="658" t="s">
        <v>325</v>
      </c>
      <c r="GN26" s="426">
        <v>0.56597222222222221</v>
      </c>
      <c r="GO26" s="408">
        <v>45772</v>
      </c>
      <c r="GP26" s="385">
        <v>11</v>
      </c>
      <c r="GQ26" s="385">
        <v>5038</v>
      </c>
      <c r="GR26" s="477">
        <f t="shared" si="26"/>
        <v>0.17857142857142858</v>
      </c>
      <c r="GS26" s="385">
        <v>9586</v>
      </c>
      <c r="GT26" s="385" t="s">
        <v>470</v>
      </c>
      <c r="GU26" s="385" t="s">
        <v>513</v>
      </c>
      <c r="GV26" s="385"/>
      <c r="GY26" s="451">
        <v>0.56180555555555556</v>
      </c>
      <c r="GZ26" s="421">
        <v>45770</v>
      </c>
      <c r="HA26" s="452">
        <v>28</v>
      </c>
      <c r="HB26" s="452">
        <v>3227</v>
      </c>
      <c r="HC26" s="452">
        <f t="shared" si="29"/>
        <v>9</v>
      </c>
      <c r="HD26" s="452">
        <v>10132</v>
      </c>
      <c r="HE26" s="452" t="s">
        <v>322</v>
      </c>
      <c r="HF26" s="452" t="s">
        <v>408</v>
      </c>
      <c r="HT26" s="419" t="s">
        <v>324</v>
      </c>
      <c r="HU26" s="426">
        <v>0.65138888888888891</v>
      </c>
      <c r="HV26" s="408">
        <v>45813</v>
      </c>
      <c r="HW26" s="385">
        <v>12</v>
      </c>
      <c r="HX26" s="385">
        <v>1256</v>
      </c>
      <c r="HY26" s="385"/>
      <c r="HZ26" s="385">
        <v>10018</v>
      </c>
      <c r="IA26" s="385"/>
      <c r="IB26" s="385" t="s">
        <v>434</v>
      </c>
      <c r="IV26" s="355"/>
      <c r="IW26" s="355"/>
      <c r="IX26" s="419" t="s">
        <v>474</v>
      </c>
      <c r="IY26" s="426">
        <v>0.60416666666666663</v>
      </c>
      <c r="IZ26" s="408">
        <v>45953</v>
      </c>
      <c r="JA26" s="388">
        <v>14</v>
      </c>
      <c r="JB26" s="385">
        <v>1638</v>
      </c>
      <c r="JC26" s="385"/>
      <c r="JD26" s="385">
        <v>11577</v>
      </c>
      <c r="JE26" s="385"/>
      <c r="JF26" s="385" t="s">
        <v>172</v>
      </c>
      <c r="JG26" s="578"/>
      <c r="JH26" s="578"/>
      <c r="JI26" s="578"/>
      <c r="JX26" s="426"/>
      <c r="JY26" s="408">
        <v>45827</v>
      </c>
      <c r="JZ26" s="385">
        <v>30</v>
      </c>
      <c r="KA26" s="385">
        <v>0</v>
      </c>
      <c r="KB26" s="385">
        <v>0</v>
      </c>
      <c r="KC26" s="385">
        <v>10593</v>
      </c>
      <c r="KD26" s="385" t="s">
        <v>524</v>
      </c>
      <c r="KE26" s="385" t="s">
        <v>149</v>
      </c>
      <c r="KW26" s="442"/>
      <c r="KX26" s="659"/>
      <c r="KY26" s="564"/>
      <c r="KZ26" s="564"/>
      <c r="LA26" s="660" t="e">
        <f t="shared" si="15"/>
        <v>#DIV/0!</v>
      </c>
      <c r="LB26" s="564"/>
      <c r="LD26" s="442"/>
      <c r="LE26" s="659"/>
      <c r="LF26" s="564"/>
      <c r="LG26" s="564"/>
      <c r="LH26" s="660" t="e">
        <f t="shared" si="16"/>
        <v>#DIV/0!</v>
      </c>
      <c r="LI26" s="564"/>
    </row>
    <row r="27" spans="2:321" ht="15.75" customHeight="1" x14ac:dyDescent="0.25">
      <c r="B27" s="640" t="s">
        <v>369</v>
      </c>
      <c r="C27" s="640"/>
      <c r="D27" s="421">
        <v>46034</v>
      </c>
      <c r="E27" s="452">
        <v>47</v>
      </c>
      <c r="F27" s="452"/>
      <c r="G27" s="452">
        <v>9925</v>
      </c>
      <c r="H27" s="452" t="s">
        <v>488</v>
      </c>
      <c r="I27" s="452" t="s">
        <v>489</v>
      </c>
      <c r="K27" s="354"/>
      <c r="L27" s="354"/>
      <c r="M27" s="354"/>
      <c r="N27" s="354"/>
      <c r="O27" s="354"/>
      <c r="Q27" s="409" t="s">
        <v>427</v>
      </c>
      <c r="R27" s="426"/>
      <c r="S27" s="408">
        <v>45825</v>
      </c>
      <c r="T27" s="385">
        <v>87</v>
      </c>
      <c r="U27" s="385">
        <v>716</v>
      </c>
      <c r="V27" s="565">
        <f t="shared" si="23"/>
        <v>0.65789473684210531</v>
      </c>
      <c r="W27" s="385">
        <v>10570</v>
      </c>
      <c r="X27" s="385" t="s">
        <v>525</v>
      </c>
      <c r="Y27" s="385" t="s">
        <v>434</v>
      </c>
      <c r="Z27" s="385" t="s">
        <v>526</v>
      </c>
      <c r="AB27" s="355"/>
      <c r="AC27" s="355"/>
      <c r="AD27" s="355"/>
      <c r="AE27" s="355"/>
      <c r="AF27" s="355"/>
      <c r="AG27" s="355"/>
      <c r="AH27" s="355"/>
      <c r="AI27" s="355"/>
      <c r="AJ27" s="355"/>
      <c r="AK27" s="355"/>
      <c r="AX27" s="442" t="s">
        <v>339</v>
      </c>
      <c r="AY27" s="426">
        <v>0.44583333333333336</v>
      </c>
      <c r="AZ27" s="408">
        <v>46048</v>
      </c>
      <c r="BA27" s="444">
        <v>260</v>
      </c>
      <c r="BB27" s="427">
        <v>3784</v>
      </c>
      <c r="BC27" s="427">
        <f t="shared" si="1"/>
        <v>34</v>
      </c>
      <c r="BD27" s="385">
        <v>10666</v>
      </c>
      <c r="BE27" s="385" t="s">
        <v>388</v>
      </c>
      <c r="BF27" s="385" t="s">
        <v>510</v>
      </c>
      <c r="BG27" s="470"/>
      <c r="BH27" s="355"/>
      <c r="BI27" s="355"/>
      <c r="BK27" s="385"/>
      <c r="BL27" s="385"/>
      <c r="BM27" s="387">
        <v>45108</v>
      </c>
      <c r="BN27" s="388">
        <v>64</v>
      </c>
      <c r="BO27" s="385">
        <v>8139</v>
      </c>
      <c r="BP27" s="407">
        <f t="shared" si="9"/>
        <v>6.6666666666666666E-2</v>
      </c>
      <c r="BQ27" s="440" t="s">
        <v>527</v>
      </c>
      <c r="BR27" s="385"/>
      <c r="BS27" s="385"/>
      <c r="BT27" s="385"/>
      <c r="BU27" s="355"/>
      <c r="BV27" s="385"/>
      <c r="BW27" s="385" t="s">
        <v>498</v>
      </c>
      <c r="BX27" s="387">
        <v>45087</v>
      </c>
      <c r="BY27" s="388">
        <v>96</v>
      </c>
      <c r="BZ27" s="385">
        <v>8915.7999999999993</v>
      </c>
      <c r="CA27" s="648">
        <f t="shared" si="10"/>
        <v>0.24874999999999545</v>
      </c>
      <c r="CB27" s="385" t="s">
        <v>528</v>
      </c>
      <c r="CC27" s="385"/>
      <c r="CD27" s="385"/>
      <c r="CG27" s="442" t="s">
        <v>307</v>
      </c>
      <c r="CH27" s="426">
        <v>0.63402777777777775</v>
      </c>
      <c r="CI27" s="408">
        <v>45236</v>
      </c>
      <c r="CJ27" s="385">
        <v>110</v>
      </c>
      <c r="CK27" s="385">
        <v>530</v>
      </c>
      <c r="CL27" s="527">
        <f t="shared" si="17"/>
        <v>0.11627906976744186</v>
      </c>
      <c r="CM27" s="440">
        <v>6922</v>
      </c>
      <c r="CN27" s="385"/>
      <c r="CO27" s="385"/>
      <c r="CS27" s="426">
        <v>0.42916666666666664</v>
      </c>
      <c r="CT27" s="408">
        <v>45448</v>
      </c>
      <c r="CU27" s="385">
        <v>127</v>
      </c>
      <c r="CV27" s="385">
        <v>5986.9</v>
      </c>
      <c r="CW27" s="429">
        <f t="shared" si="31"/>
        <v>8.5000000000000006E-2</v>
      </c>
      <c r="CX27" s="385">
        <v>3741</v>
      </c>
      <c r="CY27" s="385" t="s">
        <v>346</v>
      </c>
      <c r="CZ27" s="385" t="s">
        <v>375</v>
      </c>
      <c r="DC27" s="645"/>
      <c r="DD27" s="426">
        <v>0.63124999999999998</v>
      </c>
      <c r="DE27" s="408">
        <v>45715</v>
      </c>
      <c r="DF27" s="385">
        <v>51</v>
      </c>
      <c r="DG27" s="385">
        <v>6221</v>
      </c>
      <c r="DH27" s="651">
        <f t="shared" ref="DH27:DH37" si="33">DG27-DG26</f>
        <v>6221</v>
      </c>
      <c r="DI27" s="385">
        <v>15100</v>
      </c>
      <c r="DJ27" s="385" t="s">
        <v>520</v>
      </c>
      <c r="DK27" s="440"/>
      <c r="DL27" s="385"/>
      <c r="DN27" s="399" t="s">
        <v>285</v>
      </c>
      <c r="DO27" s="426">
        <v>0.625</v>
      </c>
      <c r="DP27" s="408">
        <v>45502</v>
      </c>
      <c r="DQ27" s="385">
        <v>165</v>
      </c>
      <c r="DR27" s="385"/>
      <c r="DS27" s="402">
        <f t="shared" si="2"/>
        <v>-1.3359375</v>
      </c>
      <c r="DT27" s="385">
        <v>8855</v>
      </c>
      <c r="DU27" s="402" t="s">
        <v>308</v>
      </c>
      <c r="DV27" s="385" t="s">
        <v>390</v>
      </c>
      <c r="DX27" s="399" t="s">
        <v>286</v>
      </c>
      <c r="DY27" s="426">
        <v>0.71527777777777779</v>
      </c>
      <c r="DZ27" s="408">
        <v>45694</v>
      </c>
      <c r="EA27" s="385">
        <v>227</v>
      </c>
      <c r="EB27" s="452">
        <v>613.20000000000005</v>
      </c>
      <c r="EC27" s="407">
        <f t="shared" si="3"/>
        <v>0</v>
      </c>
      <c r="ED27" s="385">
        <v>9102</v>
      </c>
      <c r="EE27" s="385" t="s">
        <v>388</v>
      </c>
      <c r="EF27" s="385" t="s">
        <v>506</v>
      </c>
      <c r="EG27" s="385" t="s">
        <v>529</v>
      </c>
      <c r="EJ27" s="409" t="s">
        <v>376</v>
      </c>
      <c r="EK27" s="426">
        <v>0.42152777777777778</v>
      </c>
      <c r="EL27" s="408">
        <v>46039</v>
      </c>
      <c r="EM27" s="388">
        <v>62</v>
      </c>
      <c r="EN27" s="385">
        <v>1310</v>
      </c>
      <c r="EO27" s="427">
        <f t="shared" si="12"/>
        <v>20</v>
      </c>
      <c r="EP27" s="385">
        <v>10618</v>
      </c>
      <c r="EQ27" s="385" t="s">
        <v>351</v>
      </c>
      <c r="ER27" s="385" t="s">
        <v>304</v>
      </c>
      <c r="ES27" s="385"/>
      <c r="EW27" s="385"/>
      <c r="EX27" s="385"/>
      <c r="EY27" s="387">
        <v>45087</v>
      </c>
      <c r="EZ27" s="388">
        <v>49</v>
      </c>
      <c r="FA27" s="385">
        <v>4874.5200000000004</v>
      </c>
      <c r="FB27" s="407">
        <f t="shared" si="13"/>
        <v>0</v>
      </c>
      <c r="FC27" s="385" t="s">
        <v>530</v>
      </c>
      <c r="FD27" s="385"/>
      <c r="FE27" s="385"/>
      <c r="FG27" s="409" t="s">
        <v>289</v>
      </c>
      <c r="FH27" s="426">
        <v>0.36527777777777776</v>
      </c>
      <c r="FI27" s="408">
        <v>45899</v>
      </c>
      <c r="FJ27" s="385">
        <v>91</v>
      </c>
      <c r="FK27" s="385">
        <v>477</v>
      </c>
      <c r="FL27" s="511">
        <f t="shared" si="32"/>
        <v>24</v>
      </c>
      <c r="FM27" s="385">
        <v>11415</v>
      </c>
      <c r="FN27" s="385" t="s">
        <v>523</v>
      </c>
      <c r="FO27" s="385" t="s">
        <v>172</v>
      </c>
      <c r="FP27" s="385"/>
      <c r="FS27" s="426">
        <v>0.59791666666666665</v>
      </c>
      <c r="FT27" s="408">
        <v>45420</v>
      </c>
      <c r="FU27" s="385">
        <v>43</v>
      </c>
      <c r="FV27" s="385">
        <v>2311.1</v>
      </c>
      <c r="FW27" s="630">
        <f>(FV27-FV26)/FU26</f>
        <v>56.368292682926828</v>
      </c>
      <c r="FX27" s="385">
        <v>5623</v>
      </c>
      <c r="FY27" s="385" t="s">
        <v>502</v>
      </c>
      <c r="FZ27" s="385" t="s">
        <v>351</v>
      </c>
      <c r="GB27" s="442" t="s">
        <v>319</v>
      </c>
      <c r="GC27" s="542">
        <v>0.57916666666666672</v>
      </c>
      <c r="GD27" s="543">
        <v>45957</v>
      </c>
      <c r="GE27" s="541">
        <v>66</v>
      </c>
      <c r="GF27" s="541">
        <v>4221</v>
      </c>
      <c r="GG27" s="429">
        <f t="shared" si="28"/>
        <v>11</v>
      </c>
      <c r="GH27" s="469">
        <v>9455</v>
      </c>
      <c r="GI27" s="541"/>
      <c r="GJ27" s="541" t="s">
        <v>453</v>
      </c>
      <c r="GM27" s="419" t="s">
        <v>321</v>
      </c>
      <c r="GN27" s="451">
        <v>0.58333333333333337</v>
      </c>
      <c r="GO27" s="421">
        <v>45782</v>
      </c>
      <c r="GP27" s="452">
        <v>13</v>
      </c>
      <c r="GQ27" s="661">
        <v>5043</v>
      </c>
      <c r="GR27" s="662">
        <f>GQ27-GQ26</f>
        <v>5</v>
      </c>
      <c r="GS27" s="452">
        <v>9663</v>
      </c>
      <c r="GT27" s="452" t="s">
        <v>470</v>
      </c>
      <c r="GU27" s="452" t="s">
        <v>513</v>
      </c>
      <c r="GV27" s="441" t="s">
        <v>347</v>
      </c>
      <c r="GX27" s="419" t="s">
        <v>290</v>
      </c>
      <c r="GY27" s="451">
        <v>0.30625000000000002</v>
      </c>
      <c r="GZ27" s="421">
        <v>45777</v>
      </c>
      <c r="HA27" s="452">
        <v>34</v>
      </c>
      <c r="HB27" s="452">
        <v>3242</v>
      </c>
      <c r="HC27" s="452">
        <f t="shared" si="29"/>
        <v>15</v>
      </c>
      <c r="HD27" s="452">
        <v>9631</v>
      </c>
      <c r="HE27" s="452" t="s">
        <v>322</v>
      </c>
      <c r="HF27" s="452" t="s">
        <v>408</v>
      </c>
      <c r="HT27" s="419" t="s">
        <v>324</v>
      </c>
      <c r="HU27" s="426">
        <v>0.375</v>
      </c>
      <c r="HV27" s="408">
        <v>45835</v>
      </c>
      <c r="HW27" s="385">
        <v>20</v>
      </c>
      <c r="HX27" s="385"/>
      <c r="HY27" s="385"/>
      <c r="HZ27" s="385">
        <v>9539</v>
      </c>
      <c r="IA27" s="385"/>
      <c r="IB27" s="385" t="s">
        <v>531</v>
      </c>
      <c r="IV27" s="355"/>
      <c r="IW27" s="355"/>
      <c r="IX27" s="419" t="s">
        <v>474</v>
      </c>
      <c r="IY27" s="426">
        <v>0.52500000000000002</v>
      </c>
      <c r="IZ27" s="408">
        <v>45982</v>
      </c>
      <c r="JA27" s="388">
        <v>11</v>
      </c>
      <c r="JB27" s="385"/>
      <c r="JC27" s="385"/>
      <c r="JD27" s="385">
        <v>11071</v>
      </c>
      <c r="JE27" s="385"/>
      <c r="JF27" s="385" t="s">
        <v>172</v>
      </c>
      <c r="JW27" s="399" t="s">
        <v>293</v>
      </c>
      <c r="JX27" s="426">
        <v>0.38958333333333334</v>
      </c>
      <c r="JY27" s="408">
        <v>45831</v>
      </c>
      <c r="JZ27" s="385">
        <v>29</v>
      </c>
      <c r="KA27" s="385">
        <v>0</v>
      </c>
      <c r="KB27" s="385">
        <v>0</v>
      </c>
      <c r="KC27" s="385">
        <v>105771</v>
      </c>
      <c r="KD27" s="385" t="s">
        <v>524</v>
      </c>
      <c r="KE27" s="385" t="s">
        <v>149</v>
      </c>
    </row>
    <row r="28" spans="2:321" ht="15.75" customHeight="1" x14ac:dyDescent="0.25">
      <c r="B28" s="640" t="s">
        <v>369</v>
      </c>
      <c r="C28" s="640"/>
      <c r="D28" s="421">
        <v>46034</v>
      </c>
      <c r="E28" s="452">
        <v>30</v>
      </c>
      <c r="F28" s="452"/>
      <c r="G28" s="452">
        <v>9929</v>
      </c>
      <c r="H28" s="452" t="s">
        <v>488</v>
      </c>
      <c r="I28" s="452" t="s">
        <v>489</v>
      </c>
      <c r="K28" s="354"/>
      <c r="L28" s="354"/>
      <c r="M28" s="354"/>
      <c r="N28" s="354"/>
      <c r="O28" s="354"/>
      <c r="Q28" s="409" t="s">
        <v>427</v>
      </c>
      <c r="R28" s="426">
        <v>0.64027777777777772</v>
      </c>
      <c r="S28" s="408">
        <v>45859</v>
      </c>
      <c r="T28" s="385">
        <v>29</v>
      </c>
      <c r="U28" s="385">
        <v>731</v>
      </c>
      <c r="V28" s="565">
        <f t="shared" si="23"/>
        <v>0.33695652173913043</v>
      </c>
      <c r="W28" s="385">
        <v>10205</v>
      </c>
      <c r="X28" s="385" t="s">
        <v>532</v>
      </c>
      <c r="Y28" s="385" t="s">
        <v>434</v>
      </c>
      <c r="Z28" s="385"/>
      <c r="AB28" s="355"/>
      <c r="AC28" s="355"/>
      <c r="AD28" s="355"/>
      <c r="AE28" s="355"/>
      <c r="AF28" s="355"/>
      <c r="AG28" s="355"/>
      <c r="AH28" s="355"/>
      <c r="AI28" s="355"/>
      <c r="AJ28" s="355"/>
      <c r="AK28" s="355"/>
      <c r="AY28" s="426">
        <v>0.36180555555555555</v>
      </c>
      <c r="AZ28" s="408">
        <v>46051</v>
      </c>
      <c r="BA28" s="444">
        <v>193</v>
      </c>
      <c r="BB28" s="427">
        <v>3807</v>
      </c>
      <c r="BC28" s="427">
        <f t="shared" si="1"/>
        <v>23</v>
      </c>
      <c r="BD28" s="385">
        <v>10687</v>
      </c>
      <c r="BE28" s="385" t="s">
        <v>81</v>
      </c>
      <c r="BF28" s="385" t="s">
        <v>510</v>
      </c>
      <c r="BG28" s="470"/>
      <c r="BH28" s="355"/>
      <c r="BI28" s="355"/>
      <c r="BK28" s="385"/>
      <c r="BL28" s="385"/>
      <c r="BM28" s="387">
        <v>45112</v>
      </c>
      <c r="BN28" s="388">
        <v>93</v>
      </c>
      <c r="BO28" s="385">
        <v>8160</v>
      </c>
      <c r="BP28" s="407">
        <f t="shared" si="9"/>
        <v>0.328125</v>
      </c>
      <c r="BQ28" s="440" t="s">
        <v>533</v>
      </c>
      <c r="BR28" s="385"/>
      <c r="BS28" s="385"/>
      <c r="BT28" s="385"/>
      <c r="BU28" s="355"/>
      <c r="BV28" s="385"/>
      <c r="BW28" s="385" t="s">
        <v>498</v>
      </c>
      <c r="BX28" s="387">
        <v>45092</v>
      </c>
      <c r="BY28" s="388">
        <v>145</v>
      </c>
      <c r="BZ28" s="385">
        <v>8942.2000000000007</v>
      </c>
      <c r="CA28" s="648">
        <f t="shared" si="10"/>
        <v>0.27500000000001518</v>
      </c>
      <c r="CB28" s="385" t="s">
        <v>534</v>
      </c>
      <c r="CC28" s="385"/>
      <c r="CD28" s="385"/>
      <c r="CG28" s="442" t="s">
        <v>307</v>
      </c>
      <c r="CH28" s="451">
        <v>0.61458333333333337</v>
      </c>
      <c r="CI28" s="421">
        <v>45261</v>
      </c>
      <c r="CJ28" s="452">
        <v>66</v>
      </c>
      <c r="CK28" s="452">
        <v>537</v>
      </c>
      <c r="CL28" s="527">
        <f t="shared" si="17"/>
        <v>6.363636363636363E-2</v>
      </c>
      <c r="CM28" s="476">
        <v>7144</v>
      </c>
      <c r="CN28" s="452"/>
      <c r="CO28" s="452"/>
      <c r="CS28" s="451">
        <v>0.61805555555555558</v>
      </c>
      <c r="CT28" s="421">
        <v>45449</v>
      </c>
      <c r="CU28" s="452">
        <v>165</v>
      </c>
      <c r="CV28" s="452">
        <v>5998</v>
      </c>
      <c r="CW28" s="429">
        <f t="shared" si="31"/>
        <v>8.7401574803152471E-2</v>
      </c>
      <c r="CX28" s="452">
        <v>3754</v>
      </c>
      <c r="CY28" s="452" t="s">
        <v>346</v>
      </c>
      <c r="CZ28" s="385" t="s">
        <v>375</v>
      </c>
      <c r="DC28" s="415" t="s">
        <v>311</v>
      </c>
      <c r="DD28" s="426"/>
      <c r="DE28" s="408">
        <v>45727</v>
      </c>
      <c r="DF28" s="385">
        <v>76</v>
      </c>
      <c r="DG28" s="385">
        <v>6253</v>
      </c>
      <c r="DH28" s="651">
        <f t="shared" si="33"/>
        <v>32</v>
      </c>
      <c r="DI28" s="385">
        <v>7428</v>
      </c>
      <c r="DJ28" s="385" t="s">
        <v>513</v>
      </c>
      <c r="DK28" s="440" t="s">
        <v>425</v>
      </c>
      <c r="DL28" s="385"/>
      <c r="DO28" s="451">
        <v>0.55555555555555558</v>
      </c>
      <c r="DP28" s="421">
        <v>45504</v>
      </c>
      <c r="DQ28" s="452">
        <v>370</v>
      </c>
      <c r="DR28" s="452"/>
      <c r="DS28" s="402">
        <f t="shared" si="2"/>
        <v>0</v>
      </c>
      <c r="DT28" s="452">
        <v>8874</v>
      </c>
      <c r="DU28" s="402" t="s">
        <v>308</v>
      </c>
      <c r="DV28" s="452" t="s">
        <v>390</v>
      </c>
      <c r="DX28" s="399" t="s">
        <v>286</v>
      </c>
      <c r="DY28" s="426">
        <v>0.58819444444444446</v>
      </c>
      <c r="DZ28" s="408">
        <v>45701</v>
      </c>
      <c r="EA28" s="385">
        <v>328</v>
      </c>
      <c r="EB28" s="385">
        <v>673</v>
      </c>
      <c r="EC28" s="407">
        <f t="shared" si="3"/>
        <v>0.26343612334801741</v>
      </c>
      <c r="ED28" s="385">
        <v>9147</v>
      </c>
      <c r="EE28" s="385" t="s">
        <v>388</v>
      </c>
      <c r="EF28" s="385" t="s">
        <v>506</v>
      </c>
      <c r="EG28" s="469"/>
      <c r="EJ28" s="354"/>
      <c r="EK28" s="426">
        <v>0.63124999999999998</v>
      </c>
      <c r="EL28" s="408">
        <v>46043</v>
      </c>
      <c r="EM28" s="388">
        <v>41</v>
      </c>
      <c r="EN28" s="385">
        <v>1333</v>
      </c>
      <c r="EO28" s="427">
        <f t="shared" si="12"/>
        <v>23</v>
      </c>
      <c r="EP28" s="385">
        <v>10639</v>
      </c>
      <c r="EQ28" s="385" t="s">
        <v>351</v>
      </c>
      <c r="ER28" s="385" t="s">
        <v>304</v>
      </c>
      <c r="ES28" s="385"/>
      <c r="EW28" s="385"/>
      <c r="EX28" s="385"/>
      <c r="EY28" s="387">
        <v>45090</v>
      </c>
      <c r="EZ28" s="388">
        <v>57</v>
      </c>
      <c r="FA28" s="385">
        <v>4874.5200000000004</v>
      </c>
      <c r="FB28" s="407">
        <f t="shared" si="13"/>
        <v>0</v>
      </c>
      <c r="FC28" s="385" t="s">
        <v>535</v>
      </c>
      <c r="FD28" s="385"/>
      <c r="FE28" s="385"/>
      <c r="FH28" s="426">
        <v>0.70625000000000004</v>
      </c>
      <c r="FI28" s="408">
        <v>45903</v>
      </c>
      <c r="FJ28" s="385">
        <v>87</v>
      </c>
      <c r="FK28" s="385">
        <v>499</v>
      </c>
      <c r="FL28" s="511">
        <f t="shared" si="32"/>
        <v>22</v>
      </c>
      <c r="FM28" s="385">
        <v>11439</v>
      </c>
      <c r="FN28" s="385" t="s">
        <v>523</v>
      </c>
      <c r="FO28" s="385" t="s">
        <v>172</v>
      </c>
      <c r="FP28" s="385"/>
      <c r="FS28" s="426">
        <v>0.47708333333333336</v>
      </c>
      <c r="FT28" s="408">
        <v>45423</v>
      </c>
      <c r="FU28" s="385">
        <v>70</v>
      </c>
      <c r="FV28" s="385">
        <v>2331.1</v>
      </c>
      <c r="FW28" s="630">
        <f>(FV28-FV27)/FU27</f>
        <v>0.46511627906976744</v>
      </c>
      <c r="FX28" s="385">
        <v>5711</v>
      </c>
      <c r="FY28" s="385" t="s">
        <v>502</v>
      </c>
      <c r="FZ28" s="385" t="s">
        <v>351</v>
      </c>
      <c r="GN28" s="451">
        <v>0.49444444444444446</v>
      </c>
      <c r="GO28" s="421">
        <v>45786</v>
      </c>
      <c r="GP28" s="452">
        <v>16</v>
      </c>
      <c r="GQ28" s="440">
        <v>5050</v>
      </c>
      <c r="GR28" s="662">
        <f t="shared" ref="GR28:GR57" si="34">GQ28-GQ27</f>
        <v>7</v>
      </c>
      <c r="GS28" s="452">
        <v>9765</v>
      </c>
      <c r="GT28" s="452" t="s">
        <v>470</v>
      </c>
      <c r="GU28" s="452" t="s">
        <v>513</v>
      </c>
      <c r="GX28" s="419" t="s">
        <v>290</v>
      </c>
      <c r="GY28" s="426">
        <v>0.34027777777777779</v>
      </c>
      <c r="GZ28" s="408">
        <v>45794</v>
      </c>
      <c r="HA28" s="385">
        <v>64</v>
      </c>
      <c r="HB28" s="385">
        <v>3278</v>
      </c>
      <c r="HC28" s="385">
        <f t="shared" si="29"/>
        <v>36</v>
      </c>
      <c r="HD28" s="385">
        <v>9815</v>
      </c>
      <c r="HE28" s="385" t="s">
        <v>322</v>
      </c>
      <c r="HF28" s="385" t="s">
        <v>408</v>
      </c>
      <c r="HT28" s="419" t="s">
        <v>324</v>
      </c>
      <c r="HU28" s="426"/>
      <c r="HV28" s="408">
        <v>45838</v>
      </c>
      <c r="HW28" s="385">
        <v>61</v>
      </c>
      <c r="HX28" s="385">
        <v>1270</v>
      </c>
      <c r="HY28" s="385"/>
      <c r="HZ28" s="385">
        <v>9539</v>
      </c>
      <c r="IA28" s="385"/>
      <c r="IB28" s="385" t="s">
        <v>536</v>
      </c>
      <c r="IV28" s="355"/>
      <c r="IW28" s="355"/>
      <c r="IX28" s="419" t="s">
        <v>474</v>
      </c>
      <c r="IY28" s="426">
        <v>0.57777777777777772</v>
      </c>
      <c r="IZ28" s="408">
        <v>45993</v>
      </c>
      <c r="JA28" s="388">
        <v>15</v>
      </c>
      <c r="JB28" s="385">
        <v>1649</v>
      </c>
      <c r="JC28" s="385"/>
      <c r="JD28" s="385">
        <v>11272</v>
      </c>
      <c r="JE28" s="385"/>
      <c r="JF28" s="385" t="s">
        <v>172</v>
      </c>
      <c r="JW28" s="399" t="s">
        <v>293</v>
      </c>
      <c r="JX28" s="426">
        <v>0.62013888888888891</v>
      </c>
      <c r="JY28" s="408">
        <v>45896</v>
      </c>
      <c r="JZ28" s="385">
        <v>35</v>
      </c>
      <c r="KA28" s="385">
        <v>0</v>
      </c>
      <c r="KB28" s="385">
        <v>0</v>
      </c>
      <c r="KC28" s="385">
        <v>10291</v>
      </c>
      <c r="KD28" s="385" t="s">
        <v>168</v>
      </c>
      <c r="KE28" s="385" t="s">
        <v>537</v>
      </c>
    </row>
    <row r="29" spans="2:321" ht="15.75" customHeight="1" thickBot="1" x14ac:dyDescent="0.3">
      <c r="B29" s="640" t="s">
        <v>369</v>
      </c>
      <c r="C29" s="640"/>
      <c r="D29" s="421">
        <v>46035</v>
      </c>
      <c r="E29" s="452">
        <v>49</v>
      </c>
      <c r="F29" s="452"/>
      <c r="G29" s="452">
        <v>9932</v>
      </c>
      <c r="H29" s="452" t="s">
        <v>488</v>
      </c>
      <c r="I29" s="452" t="s">
        <v>489</v>
      </c>
      <c r="K29" s="354"/>
      <c r="L29" s="354"/>
      <c r="M29" s="354"/>
      <c r="N29" s="354"/>
      <c r="O29" s="354"/>
      <c r="P29" s="657"/>
      <c r="Q29" s="409" t="s">
        <v>427</v>
      </c>
      <c r="R29" s="426"/>
      <c r="S29" s="408">
        <v>45866</v>
      </c>
      <c r="T29" s="385">
        <v>20</v>
      </c>
      <c r="U29" s="385"/>
      <c r="V29" s="565">
        <f t="shared" si="23"/>
        <v>-8.2298850574712645</v>
      </c>
      <c r="W29" s="385">
        <v>10326</v>
      </c>
      <c r="X29" s="385" t="s">
        <v>168</v>
      </c>
      <c r="Y29" s="385" t="s">
        <v>434</v>
      </c>
      <c r="Z29" s="385"/>
      <c r="AA29" s="657"/>
      <c r="AB29" s="355"/>
      <c r="AC29" s="355"/>
      <c r="AD29" s="355"/>
      <c r="AE29" s="355"/>
      <c r="AF29" s="355"/>
      <c r="AG29" s="355"/>
      <c r="AH29" s="355"/>
      <c r="AI29" s="355"/>
      <c r="AJ29" s="355"/>
      <c r="AK29" s="355"/>
      <c r="AX29" s="442" t="s">
        <v>339</v>
      </c>
      <c r="AY29" s="426">
        <v>0.28402777777777777</v>
      </c>
      <c r="AZ29" s="408">
        <v>46056</v>
      </c>
      <c r="BA29" s="444">
        <v>311</v>
      </c>
      <c r="BB29" s="427">
        <v>3827</v>
      </c>
      <c r="BC29" s="427">
        <f t="shared" si="1"/>
        <v>20</v>
      </c>
      <c r="BD29" s="385">
        <v>10403</v>
      </c>
      <c r="BE29" s="385" t="s">
        <v>81</v>
      </c>
      <c r="BF29" s="385" t="s">
        <v>510</v>
      </c>
      <c r="BG29" s="470"/>
      <c r="BH29" s="355"/>
      <c r="BI29" s="355"/>
      <c r="BK29" s="385"/>
      <c r="BL29" s="385"/>
      <c r="BM29" s="387">
        <v>45115</v>
      </c>
      <c r="BN29" s="388">
        <v>97</v>
      </c>
      <c r="BO29" s="385">
        <v>8183</v>
      </c>
      <c r="BP29" s="407">
        <f t="shared" si="9"/>
        <v>0.24731182795698925</v>
      </c>
      <c r="BQ29" s="440">
        <v>6285</v>
      </c>
      <c r="BR29" s="385"/>
      <c r="BS29" s="385"/>
      <c r="BT29" s="385"/>
      <c r="BU29" s="355"/>
      <c r="BV29" s="385"/>
      <c r="BW29" s="385" t="s">
        <v>498</v>
      </c>
      <c r="BX29" s="387">
        <v>45094</v>
      </c>
      <c r="BY29" s="388">
        <v>112</v>
      </c>
      <c r="BZ29" s="385">
        <v>8953.9</v>
      </c>
      <c r="CA29" s="648">
        <f t="shared" si="10"/>
        <v>8.0689655172406269E-2</v>
      </c>
      <c r="CB29" s="385" t="s">
        <v>538</v>
      </c>
      <c r="CC29" s="385"/>
      <c r="CD29" s="385"/>
      <c r="CG29" s="442" t="s">
        <v>307</v>
      </c>
      <c r="CH29" s="426">
        <v>0.44791666666666669</v>
      </c>
      <c r="CI29" s="408">
        <v>45267</v>
      </c>
      <c r="CJ29" s="385">
        <v>123</v>
      </c>
      <c r="CK29" s="385">
        <v>556</v>
      </c>
      <c r="CL29" s="527">
        <f t="shared" si="17"/>
        <v>0.2878787878787879</v>
      </c>
      <c r="CM29" s="440">
        <v>7199</v>
      </c>
      <c r="CN29" s="385"/>
      <c r="CO29" s="385"/>
      <c r="CR29" s="399" t="s">
        <v>310</v>
      </c>
      <c r="CS29" s="426">
        <v>0.31944444444444442</v>
      </c>
      <c r="CT29" s="408">
        <v>45453</v>
      </c>
      <c r="CU29" s="385">
        <v>135</v>
      </c>
      <c r="CV29" s="385">
        <v>6012</v>
      </c>
      <c r="CW29" s="429">
        <f t="shared" si="31"/>
        <v>8.4848484848484854E-2</v>
      </c>
      <c r="CX29" s="385">
        <v>3777</v>
      </c>
      <c r="CY29" s="385" t="s">
        <v>346</v>
      </c>
      <c r="CZ29" s="385" t="s">
        <v>375</v>
      </c>
      <c r="DC29" s="415" t="s">
        <v>311</v>
      </c>
      <c r="DD29" s="426"/>
      <c r="DE29" s="408">
        <v>45735</v>
      </c>
      <c r="DF29" s="385">
        <v>37</v>
      </c>
      <c r="DG29" s="385">
        <v>6253</v>
      </c>
      <c r="DH29" s="651">
        <f t="shared" si="33"/>
        <v>0</v>
      </c>
      <c r="DI29" s="385">
        <v>12243</v>
      </c>
      <c r="DJ29" s="385" t="s">
        <v>513</v>
      </c>
      <c r="DK29" s="440" t="s">
        <v>425</v>
      </c>
      <c r="DL29" s="385"/>
      <c r="DN29" s="399" t="s">
        <v>285</v>
      </c>
      <c r="DO29" s="426"/>
      <c r="DP29" s="408">
        <v>45507</v>
      </c>
      <c r="DQ29" s="385">
        <v>310</v>
      </c>
      <c r="DR29" s="385">
        <v>564</v>
      </c>
      <c r="DS29" s="402">
        <f t="shared" si="2"/>
        <v>1.5243243243243243</v>
      </c>
      <c r="DT29" s="385">
        <v>8958</v>
      </c>
      <c r="DU29" s="402" t="s">
        <v>308</v>
      </c>
      <c r="DV29" s="385" t="s">
        <v>390</v>
      </c>
      <c r="DX29" s="399" t="s">
        <v>286</v>
      </c>
      <c r="DY29" s="551">
        <v>0.67013888888888884</v>
      </c>
      <c r="DZ29" s="552">
        <v>45705</v>
      </c>
      <c r="EA29" s="393">
        <v>116</v>
      </c>
      <c r="EB29" s="393">
        <v>693</v>
      </c>
      <c r="EC29" s="477">
        <f t="shared" si="3"/>
        <v>6.097560975609756E-2</v>
      </c>
      <c r="ED29" s="393">
        <v>15126</v>
      </c>
      <c r="EE29" s="393" t="s">
        <v>388</v>
      </c>
      <c r="EF29" s="393" t="s">
        <v>539</v>
      </c>
      <c r="EG29" s="355"/>
      <c r="EK29" s="426">
        <v>0.43333333333333335</v>
      </c>
      <c r="EL29" s="408">
        <v>46044</v>
      </c>
      <c r="EM29" s="388">
        <v>57</v>
      </c>
      <c r="EN29" s="385">
        <v>1345</v>
      </c>
      <c r="EO29" s="427">
        <f t="shared" si="12"/>
        <v>12</v>
      </c>
      <c r="EP29" s="385">
        <v>10643</v>
      </c>
      <c r="EQ29" s="385" t="s">
        <v>351</v>
      </c>
      <c r="ER29" s="385" t="s">
        <v>304</v>
      </c>
      <c r="ES29" s="385"/>
      <c r="EW29" s="385"/>
      <c r="EX29" s="385"/>
      <c r="EY29" s="387">
        <v>45118</v>
      </c>
      <c r="EZ29" s="388">
        <v>21</v>
      </c>
      <c r="FA29" s="663" t="s">
        <v>540</v>
      </c>
      <c r="FB29" s="407" t="e">
        <f t="shared" si="13"/>
        <v>#VALUE!</v>
      </c>
      <c r="FC29" s="385">
        <v>6301</v>
      </c>
      <c r="FD29" s="385"/>
      <c r="FE29" s="385"/>
      <c r="FG29" s="409" t="s">
        <v>289</v>
      </c>
      <c r="FH29" s="426"/>
      <c r="FI29" s="408">
        <v>45908</v>
      </c>
      <c r="FJ29" s="385">
        <v>97</v>
      </c>
      <c r="FK29" s="385">
        <v>520</v>
      </c>
      <c r="FL29" s="511">
        <f t="shared" si="32"/>
        <v>21</v>
      </c>
      <c r="FM29" s="385">
        <v>10814</v>
      </c>
      <c r="FN29" s="385" t="s">
        <v>523</v>
      </c>
      <c r="FO29" s="385" t="s">
        <v>172</v>
      </c>
      <c r="FP29" s="664" t="s">
        <v>541</v>
      </c>
      <c r="FS29" s="426">
        <v>0.51041666666666663</v>
      </c>
      <c r="FT29" s="408">
        <v>45427</v>
      </c>
      <c r="FU29" s="385">
        <v>66</v>
      </c>
      <c r="FV29" s="385">
        <v>2348.6999999999998</v>
      </c>
      <c r="FW29" s="630">
        <f>(FV29-FV27)/FU27</f>
        <v>0.87441860465116072</v>
      </c>
      <c r="FX29" s="385">
        <v>5624</v>
      </c>
      <c r="FY29" s="385" t="s">
        <v>502</v>
      </c>
      <c r="FZ29" s="385" t="s">
        <v>351</v>
      </c>
      <c r="GM29" s="419" t="s">
        <v>542</v>
      </c>
      <c r="GN29" s="451"/>
      <c r="GO29" s="421">
        <v>45780</v>
      </c>
      <c r="GP29" s="452">
        <v>53</v>
      </c>
      <c r="GQ29" s="440">
        <v>5068</v>
      </c>
      <c r="GR29" s="662">
        <f t="shared" si="34"/>
        <v>18</v>
      </c>
      <c r="GS29" s="452">
        <v>9342</v>
      </c>
      <c r="GT29" s="452" t="s">
        <v>470</v>
      </c>
      <c r="GU29" s="452" t="s">
        <v>308</v>
      </c>
      <c r="GX29" s="419" t="s">
        <v>290</v>
      </c>
      <c r="GY29" s="426">
        <v>0.3263888888888889</v>
      </c>
      <c r="GZ29" s="408">
        <v>45846</v>
      </c>
      <c r="HA29" s="385">
        <v>44</v>
      </c>
      <c r="HB29" s="385">
        <v>3299</v>
      </c>
      <c r="HC29" s="385">
        <f t="shared" si="29"/>
        <v>21</v>
      </c>
      <c r="HD29" s="385">
        <v>9648</v>
      </c>
      <c r="HE29" s="385" t="s">
        <v>320</v>
      </c>
      <c r="HF29" s="385" t="s">
        <v>543</v>
      </c>
      <c r="HT29" s="419" t="s">
        <v>324</v>
      </c>
      <c r="HU29" s="426">
        <v>0.72291666666666665</v>
      </c>
      <c r="HV29" s="408">
        <v>45846</v>
      </c>
      <c r="HW29" s="385">
        <v>20</v>
      </c>
      <c r="HX29" s="385">
        <v>1276</v>
      </c>
      <c r="HY29" s="385">
        <f>HX29-HX28</f>
        <v>6</v>
      </c>
      <c r="HZ29" s="385">
        <v>10106</v>
      </c>
      <c r="IA29" s="385"/>
      <c r="IB29" s="385" t="s">
        <v>536</v>
      </c>
      <c r="IV29" s="355"/>
      <c r="IW29" s="355"/>
      <c r="IX29" s="419" t="s">
        <v>474</v>
      </c>
      <c r="IY29" s="426"/>
      <c r="IZ29" s="408">
        <v>46032</v>
      </c>
      <c r="JA29" s="388">
        <v>16</v>
      </c>
      <c r="JB29" s="385"/>
      <c r="JC29" s="385"/>
      <c r="JD29" s="385">
        <v>9918</v>
      </c>
      <c r="JE29" s="385"/>
      <c r="JF29" s="385" t="s">
        <v>544</v>
      </c>
      <c r="JW29" s="399" t="s">
        <v>293</v>
      </c>
      <c r="JX29" s="426">
        <v>0.48472222222222222</v>
      </c>
      <c r="JY29" s="408">
        <v>45944</v>
      </c>
      <c r="JZ29" s="385">
        <v>17</v>
      </c>
      <c r="KA29" s="385">
        <v>0</v>
      </c>
      <c r="KB29" s="385">
        <v>0</v>
      </c>
      <c r="KC29" s="385">
        <v>15192</v>
      </c>
      <c r="KD29" s="385" t="s">
        <v>149</v>
      </c>
      <c r="KE29" s="385" t="s">
        <v>545</v>
      </c>
    </row>
    <row r="30" spans="2:321" ht="15.75" customHeight="1" x14ac:dyDescent="0.25">
      <c r="B30" s="640" t="s">
        <v>458</v>
      </c>
      <c r="C30" s="640"/>
      <c r="D30" s="421">
        <v>46036</v>
      </c>
      <c r="E30" s="452">
        <v>31</v>
      </c>
      <c r="F30" s="452">
        <v>18797</v>
      </c>
      <c r="G30" s="452">
        <v>9940</v>
      </c>
      <c r="H30" s="452" t="s">
        <v>304</v>
      </c>
      <c r="I30" s="453"/>
      <c r="K30" s="354"/>
      <c r="L30" s="354"/>
      <c r="M30" s="354"/>
      <c r="N30" s="354"/>
      <c r="O30" s="354"/>
      <c r="Q30" s="409" t="s">
        <v>427</v>
      </c>
      <c r="R30" s="426">
        <v>0.5083333333333333</v>
      </c>
      <c r="S30" s="408">
        <v>45874</v>
      </c>
      <c r="T30" s="385">
        <v>37</v>
      </c>
      <c r="U30" s="385">
        <v>757</v>
      </c>
      <c r="V30" s="565">
        <f>(U30-U28)/T28</f>
        <v>0.89655172413793105</v>
      </c>
      <c r="W30" s="385">
        <v>11359</v>
      </c>
      <c r="X30" s="385"/>
      <c r="Y30" s="385" t="s">
        <v>434</v>
      </c>
      <c r="Z30" s="385"/>
      <c r="AB30" s="355"/>
      <c r="AC30" s="355"/>
      <c r="AD30" s="355"/>
      <c r="AE30" s="355"/>
      <c r="AF30" s="355"/>
      <c r="AG30" s="355"/>
      <c r="AH30" s="355"/>
      <c r="AI30" s="355"/>
      <c r="AJ30" s="355"/>
      <c r="AK30" s="355"/>
      <c r="AX30" s="442" t="s">
        <v>339</v>
      </c>
      <c r="AY30" s="426">
        <v>0.39444444444444443</v>
      </c>
      <c r="AZ30" s="408">
        <v>46060</v>
      </c>
      <c r="BA30" s="444">
        <v>303</v>
      </c>
      <c r="BB30" s="427">
        <v>3853</v>
      </c>
      <c r="BC30" s="427">
        <f t="shared" si="1"/>
        <v>26</v>
      </c>
      <c r="BD30" s="385">
        <v>10522</v>
      </c>
      <c r="BE30" s="385" t="s">
        <v>46</v>
      </c>
      <c r="BF30" s="385" t="s">
        <v>510</v>
      </c>
      <c r="BG30" s="470"/>
      <c r="BH30" s="355"/>
      <c r="BI30" s="355"/>
      <c r="BK30" s="385"/>
      <c r="BL30" s="452" t="s">
        <v>546</v>
      </c>
      <c r="BM30" s="473">
        <v>45120</v>
      </c>
      <c r="BN30" s="474">
        <v>101</v>
      </c>
      <c r="BO30" s="452">
        <v>8198.2999999999993</v>
      </c>
      <c r="BP30" s="402">
        <f t="shared" si="9"/>
        <v>0.1577319587628791</v>
      </c>
      <c r="BQ30" s="476">
        <v>6326</v>
      </c>
      <c r="BR30" s="452"/>
      <c r="BS30" s="452"/>
      <c r="BT30" s="385"/>
      <c r="BU30" s="355"/>
      <c r="BV30" s="385" t="s">
        <v>306</v>
      </c>
      <c r="BW30" s="385" t="s">
        <v>498</v>
      </c>
      <c r="BX30" s="387">
        <v>45099</v>
      </c>
      <c r="BY30" s="388">
        <v>51</v>
      </c>
      <c r="BZ30" s="385">
        <v>8977.1</v>
      </c>
      <c r="CA30" s="648">
        <f t="shared" si="10"/>
        <v>0.20714285714286365</v>
      </c>
      <c r="CB30" s="385" t="s">
        <v>547</v>
      </c>
      <c r="CC30" s="385"/>
      <c r="CD30" s="385"/>
      <c r="CG30" s="442" t="s">
        <v>307</v>
      </c>
      <c r="CH30" s="451">
        <v>0.4909722222222222</v>
      </c>
      <c r="CI30" s="421">
        <v>45279</v>
      </c>
      <c r="CJ30" s="452">
        <v>127</v>
      </c>
      <c r="CK30" s="452">
        <v>579</v>
      </c>
      <c r="CL30" s="527">
        <f t="shared" si="17"/>
        <v>0.18699186991869918</v>
      </c>
      <c r="CM30" s="476">
        <v>7330</v>
      </c>
      <c r="CN30" s="452"/>
      <c r="CO30" s="452"/>
      <c r="CS30" s="451">
        <v>0.47361111111111109</v>
      </c>
      <c r="CT30" s="421">
        <v>45455</v>
      </c>
      <c r="CU30" s="452">
        <v>169</v>
      </c>
      <c r="CV30" s="452">
        <v>6033</v>
      </c>
      <c r="CW30" s="429">
        <f t="shared" si="31"/>
        <v>0.15555555555555556</v>
      </c>
      <c r="CX30" s="452">
        <v>3798</v>
      </c>
      <c r="CY30" s="452" t="s">
        <v>346</v>
      </c>
      <c r="CZ30" s="385" t="s">
        <v>375</v>
      </c>
      <c r="DC30" s="415" t="s">
        <v>311</v>
      </c>
      <c r="DD30" s="451">
        <v>0.41597222222222224</v>
      </c>
      <c r="DE30" s="421">
        <v>45745</v>
      </c>
      <c r="DF30" s="452">
        <v>52</v>
      </c>
      <c r="DG30" s="452">
        <v>6318</v>
      </c>
      <c r="DH30" s="651">
        <f t="shared" si="33"/>
        <v>65</v>
      </c>
      <c r="DI30" s="452">
        <v>9262</v>
      </c>
      <c r="DJ30" s="452" t="s">
        <v>46</v>
      </c>
      <c r="DK30" s="665" t="s">
        <v>393</v>
      </c>
      <c r="DL30" s="452"/>
      <c r="DO30" s="451">
        <v>0.58680555555555558</v>
      </c>
      <c r="DP30" s="421">
        <v>45511</v>
      </c>
      <c r="DQ30" s="452">
        <v>341</v>
      </c>
      <c r="DR30" s="452">
        <v>585.4</v>
      </c>
      <c r="DS30" s="402">
        <f t="shared" si="2"/>
        <v>6.9032258064516058E-2</v>
      </c>
      <c r="DT30" s="452">
        <v>8820</v>
      </c>
      <c r="DU30" s="402" t="s">
        <v>308</v>
      </c>
      <c r="DV30" s="452" t="s">
        <v>390</v>
      </c>
      <c r="DX30" s="355"/>
      <c r="DY30" s="551">
        <v>0.37222222222222223</v>
      </c>
      <c r="DZ30" s="552">
        <v>45707</v>
      </c>
      <c r="EA30" s="393">
        <v>319</v>
      </c>
      <c r="EB30" s="393">
        <v>701</v>
      </c>
      <c r="EC30" s="477">
        <f t="shared" si="3"/>
        <v>6.8965517241379309E-2</v>
      </c>
      <c r="ED30" s="393">
        <v>15145</v>
      </c>
      <c r="EE30" s="393" t="s">
        <v>388</v>
      </c>
      <c r="EF30" s="393" t="s">
        <v>548</v>
      </c>
      <c r="EG30" s="666" t="s">
        <v>549</v>
      </c>
      <c r="EJ30" s="409" t="s">
        <v>376</v>
      </c>
      <c r="EK30" s="426">
        <v>0.58472222222222225</v>
      </c>
      <c r="EL30" s="408">
        <v>46049</v>
      </c>
      <c r="EM30" s="388">
        <v>86</v>
      </c>
      <c r="EN30" s="385">
        <v>1356</v>
      </c>
      <c r="EO30" s="427">
        <f t="shared" si="12"/>
        <v>11</v>
      </c>
      <c r="EP30" s="385">
        <v>10670</v>
      </c>
      <c r="EQ30" s="385" t="s">
        <v>351</v>
      </c>
      <c r="ER30" s="385" t="s">
        <v>304</v>
      </c>
      <c r="ES30" s="385"/>
      <c r="EW30" s="385"/>
      <c r="EX30" s="426">
        <v>0.88541666666666663</v>
      </c>
      <c r="EY30" s="387">
        <v>45168</v>
      </c>
      <c r="EZ30" s="388">
        <v>150</v>
      </c>
      <c r="FA30" s="385">
        <v>4874</v>
      </c>
      <c r="FB30" s="407" t="e">
        <f t="shared" si="13"/>
        <v>#VALUE!</v>
      </c>
      <c r="FC30" s="385"/>
      <c r="FD30" s="385"/>
      <c r="FE30" s="385"/>
      <c r="FH30" s="426">
        <v>0.65277777777777779</v>
      </c>
      <c r="FI30" s="408">
        <v>45911</v>
      </c>
      <c r="FJ30" s="385">
        <v>70</v>
      </c>
      <c r="FK30" s="385">
        <v>538</v>
      </c>
      <c r="FL30" s="511">
        <f t="shared" si="32"/>
        <v>18</v>
      </c>
      <c r="FM30" s="385">
        <v>10830</v>
      </c>
      <c r="FN30" s="385" t="s">
        <v>523</v>
      </c>
      <c r="FO30" s="385"/>
      <c r="FP30" s="385"/>
      <c r="FS30" s="451">
        <v>0.56874999999999998</v>
      </c>
      <c r="FT30" s="421">
        <v>45433</v>
      </c>
      <c r="FU30" s="452">
        <v>41</v>
      </c>
      <c r="FV30" s="452"/>
      <c r="FW30" s="644"/>
      <c r="FX30" s="452">
        <v>8239</v>
      </c>
      <c r="FY30" s="452" t="s">
        <v>502</v>
      </c>
      <c r="FZ30" s="385" t="s">
        <v>351</v>
      </c>
      <c r="GM30" s="419" t="s">
        <v>542</v>
      </c>
      <c r="GN30" s="426">
        <v>0.57847222222222228</v>
      </c>
      <c r="GO30" s="408">
        <v>45799</v>
      </c>
      <c r="GP30" s="385">
        <v>45</v>
      </c>
      <c r="GQ30" s="440">
        <v>5082</v>
      </c>
      <c r="GR30" s="662">
        <f t="shared" si="34"/>
        <v>14</v>
      </c>
      <c r="GS30" s="385">
        <v>12175</v>
      </c>
      <c r="GT30" s="385" t="s">
        <v>470</v>
      </c>
      <c r="GU30" s="385" t="s">
        <v>308</v>
      </c>
      <c r="GY30" s="426">
        <v>0.85416666666666663</v>
      </c>
      <c r="GZ30" s="408">
        <v>45848</v>
      </c>
      <c r="HA30" s="385">
        <v>27</v>
      </c>
      <c r="HB30" s="385">
        <v>3307</v>
      </c>
      <c r="HC30" s="385">
        <f t="shared" si="29"/>
        <v>8</v>
      </c>
      <c r="HD30" s="385">
        <v>10125</v>
      </c>
      <c r="HE30" s="385" t="s">
        <v>452</v>
      </c>
      <c r="HF30" s="385" t="s">
        <v>550</v>
      </c>
      <c r="HT30" s="419" t="s">
        <v>324</v>
      </c>
      <c r="HU30" s="426">
        <v>0.49722222222222223</v>
      </c>
      <c r="HV30" s="408">
        <v>45888</v>
      </c>
      <c r="HW30" s="385">
        <v>16</v>
      </c>
      <c r="HX30" s="385">
        <v>1284</v>
      </c>
      <c r="HY30" s="385">
        <f t="shared" ref="HY30:HY44" si="35">HX30-HX29</f>
        <v>8</v>
      </c>
      <c r="HZ30" s="385">
        <v>10392</v>
      </c>
      <c r="IA30" s="385"/>
      <c r="IB30" s="385" t="s">
        <v>551</v>
      </c>
      <c r="IX30" s="419" t="s">
        <v>474</v>
      </c>
      <c r="IY30" s="426"/>
      <c r="IZ30" s="408">
        <v>46064</v>
      </c>
      <c r="JA30" s="388">
        <v>11</v>
      </c>
      <c r="JB30" s="385"/>
      <c r="JC30" s="385"/>
      <c r="JD30" s="385">
        <v>10541</v>
      </c>
      <c r="JE30" s="385"/>
      <c r="JF30" s="385" t="s">
        <v>544</v>
      </c>
      <c r="JX30" s="426">
        <v>0.23958333333333334</v>
      </c>
      <c r="JY30" s="408">
        <v>45950</v>
      </c>
      <c r="JZ30" s="385">
        <v>37</v>
      </c>
      <c r="KA30" s="385">
        <v>0</v>
      </c>
      <c r="KB30" s="385">
        <v>0</v>
      </c>
      <c r="KC30" s="385">
        <v>11554</v>
      </c>
      <c r="KD30" s="385" t="s">
        <v>304</v>
      </c>
      <c r="KE30" s="385"/>
      <c r="KW30" s="362" t="s">
        <v>296</v>
      </c>
      <c r="KX30" s="362" t="s">
        <v>207</v>
      </c>
      <c r="KY30" s="362" t="s">
        <v>208</v>
      </c>
      <c r="KZ30" s="362" t="s">
        <v>209</v>
      </c>
      <c r="LA30" s="362" t="s">
        <v>210</v>
      </c>
      <c r="LD30" s="362" t="s">
        <v>296</v>
      </c>
      <c r="LE30" s="362" t="s">
        <v>207</v>
      </c>
      <c r="LF30" s="362" t="s">
        <v>208</v>
      </c>
      <c r="LG30" s="362" t="s">
        <v>209</v>
      </c>
      <c r="LH30" s="362" t="s">
        <v>210</v>
      </c>
    </row>
    <row r="31" spans="2:321" ht="15.75" customHeight="1" x14ac:dyDescent="0.25">
      <c r="B31" s="640" t="s">
        <v>369</v>
      </c>
      <c r="C31" s="640"/>
      <c r="D31" s="421">
        <v>46036</v>
      </c>
      <c r="E31" s="452">
        <v>63</v>
      </c>
      <c r="F31" s="452"/>
      <c r="G31" s="452">
        <v>9945</v>
      </c>
      <c r="H31" s="452" t="s">
        <v>488</v>
      </c>
      <c r="I31" s="452" t="s">
        <v>489</v>
      </c>
      <c r="Q31" s="409" t="s">
        <v>427</v>
      </c>
      <c r="R31" s="426">
        <v>0.48541666666666666</v>
      </c>
      <c r="S31" s="408">
        <v>45888</v>
      </c>
      <c r="T31" s="385">
        <v>32</v>
      </c>
      <c r="U31" s="385">
        <v>777</v>
      </c>
      <c r="V31" s="565">
        <f>(U31-U29)/T29</f>
        <v>38.85</v>
      </c>
      <c r="W31" s="385">
        <v>10390</v>
      </c>
      <c r="X31" s="385" t="s">
        <v>117</v>
      </c>
      <c r="Y31" s="385" t="s">
        <v>434</v>
      </c>
      <c r="Z31" s="385"/>
      <c r="AB31" s="355"/>
      <c r="AC31" s="355"/>
      <c r="AD31" s="355"/>
      <c r="AE31" s="355"/>
      <c r="AF31" s="355"/>
      <c r="AG31" s="355"/>
      <c r="AH31" s="355"/>
      <c r="AI31" s="355"/>
      <c r="AJ31" s="355"/>
      <c r="AK31" s="355"/>
      <c r="AY31" s="426">
        <v>0.55208333333333337</v>
      </c>
      <c r="AZ31" s="408">
        <v>46064</v>
      </c>
      <c r="BA31" s="444">
        <v>326</v>
      </c>
      <c r="BB31" s="427">
        <v>3872</v>
      </c>
      <c r="BC31" s="427">
        <f t="shared" si="1"/>
        <v>19</v>
      </c>
      <c r="BD31" s="385">
        <v>10542</v>
      </c>
      <c r="BE31" s="385" t="s">
        <v>46</v>
      </c>
      <c r="BF31" s="385" t="s">
        <v>510</v>
      </c>
      <c r="BG31" s="470"/>
      <c r="BH31" s="355"/>
      <c r="BI31" s="355"/>
      <c r="BK31" s="385" t="s">
        <v>552</v>
      </c>
      <c r="BL31" s="426">
        <v>0.34513888888888888</v>
      </c>
      <c r="BM31" s="408">
        <v>45124</v>
      </c>
      <c r="BN31" s="388">
        <v>90</v>
      </c>
      <c r="BO31" s="385">
        <v>8220.9</v>
      </c>
      <c r="BP31" s="407">
        <f t="shared" si="9"/>
        <v>0.22376237623762738</v>
      </c>
      <c r="BQ31" s="440">
        <v>6352</v>
      </c>
      <c r="BR31" s="385"/>
      <c r="BS31" s="385"/>
      <c r="BT31" s="385"/>
      <c r="BU31" s="355"/>
      <c r="BV31" s="385"/>
      <c r="BW31" s="385" t="s">
        <v>498</v>
      </c>
      <c r="BX31" s="387">
        <v>45103</v>
      </c>
      <c r="BY31" s="388">
        <v>90</v>
      </c>
      <c r="BZ31" s="385">
        <v>8995.2000000000007</v>
      </c>
      <c r="CA31" s="648">
        <f t="shared" si="10"/>
        <v>0.35490196078432085</v>
      </c>
      <c r="CB31" s="385" t="s">
        <v>553</v>
      </c>
      <c r="CC31" s="385"/>
      <c r="CD31" s="385"/>
      <c r="CG31" s="442" t="s">
        <v>307</v>
      </c>
      <c r="CH31" s="426">
        <v>0.61111111111111105</v>
      </c>
      <c r="CI31" s="408">
        <v>45654</v>
      </c>
      <c r="CJ31" s="385">
        <v>100</v>
      </c>
      <c r="CK31" s="385"/>
      <c r="CL31" s="527">
        <f t="shared" si="17"/>
        <v>-4.5590551181102361</v>
      </c>
      <c r="CM31" s="667">
        <v>4629</v>
      </c>
      <c r="CN31" s="668"/>
      <c r="CO31" s="668"/>
      <c r="CR31" s="399" t="s">
        <v>310</v>
      </c>
      <c r="CS31" s="426">
        <v>0.45833333333333331</v>
      </c>
      <c r="CT31" s="408">
        <v>45458</v>
      </c>
      <c r="CU31" s="385">
        <v>220</v>
      </c>
      <c r="CV31" s="385">
        <v>6066</v>
      </c>
      <c r="CW31" s="429">
        <f t="shared" si="31"/>
        <v>0.19526627218934911</v>
      </c>
      <c r="CX31" s="385">
        <v>3849</v>
      </c>
      <c r="CY31" s="385" t="s">
        <v>346</v>
      </c>
      <c r="CZ31" s="385" t="s">
        <v>375</v>
      </c>
      <c r="DC31" s="355"/>
      <c r="DD31" s="451"/>
      <c r="DE31" s="421">
        <v>45748</v>
      </c>
      <c r="DF31" s="452">
        <v>66</v>
      </c>
      <c r="DG31" s="452">
        <v>6328</v>
      </c>
      <c r="DH31" s="651">
        <f t="shared" si="33"/>
        <v>10</v>
      </c>
      <c r="DI31" s="452">
        <v>9273</v>
      </c>
      <c r="DJ31" s="452" t="s">
        <v>46</v>
      </c>
      <c r="DK31" s="665" t="s">
        <v>393</v>
      </c>
      <c r="DL31" s="452"/>
      <c r="DN31" s="399" t="s">
        <v>285</v>
      </c>
      <c r="DO31" s="451">
        <v>0.50069444444444444</v>
      </c>
      <c r="DP31" s="421">
        <v>45514</v>
      </c>
      <c r="DQ31" s="452">
        <v>358</v>
      </c>
      <c r="DR31" s="452"/>
      <c r="DS31" s="402">
        <f t="shared" si="2"/>
        <v>-1.716715542521994</v>
      </c>
      <c r="DT31" s="452">
        <v>8976</v>
      </c>
      <c r="DU31" s="402" t="s">
        <v>308</v>
      </c>
      <c r="DV31" s="452" t="s">
        <v>390</v>
      </c>
      <c r="DX31" s="415" t="s">
        <v>286</v>
      </c>
      <c r="DY31" s="551">
        <v>0.38333333333333336</v>
      </c>
      <c r="DZ31" s="552">
        <v>45710</v>
      </c>
      <c r="EA31" s="393">
        <v>320</v>
      </c>
      <c r="EB31" s="393"/>
      <c r="EC31" s="477">
        <f t="shared" si="3"/>
        <v>-2.1974921630094042</v>
      </c>
      <c r="ED31" s="393">
        <v>15074</v>
      </c>
      <c r="EE31" s="393" t="s">
        <v>388</v>
      </c>
      <c r="EF31" s="393" t="s">
        <v>548</v>
      </c>
      <c r="EG31" s="470"/>
      <c r="EK31" s="426">
        <v>0.62638888888888888</v>
      </c>
      <c r="EL31" s="408">
        <v>46052</v>
      </c>
      <c r="EM31" s="388">
        <v>79</v>
      </c>
      <c r="EN31" s="385">
        <v>1377</v>
      </c>
      <c r="EO31" s="427">
        <f t="shared" si="12"/>
        <v>21</v>
      </c>
      <c r="EP31" s="385">
        <v>10692</v>
      </c>
      <c r="EQ31" s="385" t="s">
        <v>351</v>
      </c>
      <c r="ER31" s="385" t="s">
        <v>304</v>
      </c>
      <c r="ES31" s="385"/>
      <c r="EW31" s="385"/>
      <c r="EX31" s="426">
        <v>0.88541666666666663</v>
      </c>
      <c r="EY31" s="387">
        <v>45168</v>
      </c>
      <c r="EZ31" s="388">
        <v>30</v>
      </c>
      <c r="FA31" s="385">
        <v>4874</v>
      </c>
      <c r="FB31" s="407">
        <f t="shared" si="13"/>
        <v>0</v>
      </c>
      <c r="FC31" s="385"/>
      <c r="FD31" s="385"/>
      <c r="FE31" s="385"/>
      <c r="FG31" s="409" t="s">
        <v>289</v>
      </c>
      <c r="FH31" s="426">
        <v>0.4548611111111111</v>
      </c>
      <c r="FI31" s="408">
        <v>45918</v>
      </c>
      <c r="FJ31" s="385">
        <v>104</v>
      </c>
      <c r="FK31" s="385">
        <v>568</v>
      </c>
      <c r="FL31" s="511">
        <f t="shared" si="32"/>
        <v>30</v>
      </c>
      <c r="FM31" s="385">
        <v>10957</v>
      </c>
      <c r="FN31" s="385" t="s">
        <v>523</v>
      </c>
      <c r="FO31" s="385" t="s">
        <v>172</v>
      </c>
      <c r="FP31" s="385"/>
      <c r="FR31" s="509" t="s">
        <v>288</v>
      </c>
      <c r="FS31" s="426">
        <v>0.51736111111111116</v>
      </c>
      <c r="FT31" s="408">
        <v>45440</v>
      </c>
      <c r="FU31" s="385">
        <v>84</v>
      </c>
      <c r="FV31" s="385">
        <v>2396</v>
      </c>
      <c r="FW31" s="630">
        <f>(FV31-FV29)/FU29</f>
        <v>0.71666666666666945</v>
      </c>
      <c r="FX31" s="385">
        <v>4148</v>
      </c>
      <c r="FY31" s="385" t="s">
        <v>554</v>
      </c>
      <c r="FZ31" s="385" t="s">
        <v>351</v>
      </c>
      <c r="GN31" s="426">
        <v>0.6166666666666667</v>
      </c>
      <c r="GO31" s="408">
        <v>45814</v>
      </c>
      <c r="GP31" s="385">
        <v>53</v>
      </c>
      <c r="GQ31" s="440">
        <v>5119</v>
      </c>
      <c r="GR31" s="662">
        <f t="shared" si="34"/>
        <v>37</v>
      </c>
      <c r="GS31" s="385">
        <v>10034</v>
      </c>
      <c r="GT31" s="385" t="s">
        <v>470</v>
      </c>
      <c r="GU31" s="385" t="s">
        <v>308</v>
      </c>
      <c r="GX31" s="419" t="s">
        <v>290</v>
      </c>
      <c r="GY31" s="426">
        <v>0.43958333333333333</v>
      </c>
      <c r="GZ31" s="408">
        <v>45854</v>
      </c>
      <c r="HA31" s="385">
        <v>30</v>
      </c>
      <c r="HB31" s="385">
        <v>3317</v>
      </c>
      <c r="HC31" s="385">
        <f t="shared" si="29"/>
        <v>10</v>
      </c>
      <c r="HD31" s="385">
        <v>10159</v>
      </c>
      <c r="HE31" s="385" t="s">
        <v>452</v>
      </c>
      <c r="HF31" s="385" t="s">
        <v>550</v>
      </c>
      <c r="HT31" s="419" t="s">
        <v>324</v>
      </c>
      <c r="HU31" s="426">
        <v>1287</v>
      </c>
      <c r="HV31" s="408">
        <v>45910</v>
      </c>
      <c r="HW31" s="385">
        <v>7</v>
      </c>
      <c r="HX31" s="385">
        <v>1287</v>
      </c>
      <c r="HY31" s="385">
        <f t="shared" si="35"/>
        <v>3</v>
      </c>
      <c r="HZ31" s="385">
        <v>10825</v>
      </c>
      <c r="IA31" s="385"/>
      <c r="IB31" s="385" t="s">
        <v>551</v>
      </c>
      <c r="IX31" s="419" t="s">
        <v>474</v>
      </c>
      <c r="IY31" s="426">
        <v>0.43194444444444446</v>
      </c>
      <c r="IZ31" s="408">
        <v>46069</v>
      </c>
      <c r="JA31" s="388">
        <v>8</v>
      </c>
      <c r="JB31" s="385">
        <v>1668</v>
      </c>
      <c r="JC31" s="385"/>
      <c r="JD31" s="385">
        <v>10478</v>
      </c>
      <c r="JE31" s="385"/>
      <c r="JF31" s="385" t="s">
        <v>544</v>
      </c>
      <c r="JW31" s="399" t="s">
        <v>293</v>
      </c>
      <c r="JX31" s="426">
        <v>0.59027777777777779</v>
      </c>
      <c r="JY31" s="408">
        <v>45993</v>
      </c>
      <c r="JZ31" s="385">
        <v>92</v>
      </c>
      <c r="KA31" s="385">
        <v>0</v>
      </c>
      <c r="KB31" s="385">
        <v>0</v>
      </c>
      <c r="KC31" s="385">
        <v>11273</v>
      </c>
      <c r="KD31" s="385"/>
      <c r="KE31" s="385" t="s">
        <v>555</v>
      </c>
      <c r="KW31" s="386"/>
      <c r="KX31" s="387"/>
      <c r="KY31" s="388"/>
      <c r="KZ31" s="385"/>
      <c r="LA31" s="385"/>
      <c r="LB31" s="439"/>
      <c r="LD31" s="386" t="s">
        <v>556</v>
      </c>
      <c r="LE31" s="387">
        <v>45654</v>
      </c>
      <c r="LF31" s="388">
        <v>60</v>
      </c>
      <c r="LG31" s="385">
        <v>0</v>
      </c>
      <c r="LH31" s="407"/>
      <c r="LI31" s="439">
        <v>7393</v>
      </c>
    </row>
    <row r="32" spans="2:321" ht="15.75" customHeight="1" x14ac:dyDescent="0.25">
      <c r="B32" s="640" t="s">
        <v>369</v>
      </c>
      <c r="C32" s="640"/>
      <c r="D32" s="421">
        <v>46037</v>
      </c>
      <c r="E32" s="452">
        <v>47</v>
      </c>
      <c r="F32" s="452"/>
      <c r="G32" s="452">
        <v>10605</v>
      </c>
      <c r="H32" s="452" t="s">
        <v>488</v>
      </c>
      <c r="I32" s="452" t="s">
        <v>489</v>
      </c>
      <c r="R32" s="451">
        <v>0.48472222222222222</v>
      </c>
      <c r="S32" s="421">
        <v>45890</v>
      </c>
      <c r="T32" s="452">
        <v>33</v>
      </c>
      <c r="U32" s="452">
        <v>790</v>
      </c>
      <c r="V32" s="565">
        <f>(U32-U30)/T30</f>
        <v>0.89189189189189189</v>
      </c>
      <c r="W32" s="452">
        <v>10258</v>
      </c>
      <c r="X32" s="452" t="s">
        <v>117</v>
      </c>
      <c r="Y32" s="452" t="s">
        <v>434</v>
      </c>
      <c r="Z32" s="452"/>
      <c r="AB32" s="355"/>
      <c r="AC32" s="355"/>
      <c r="AD32" s="355"/>
      <c r="AE32" s="355"/>
      <c r="AF32" s="355"/>
      <c r="AG32" s="355"/>
      <c r="AH32" s="355"/>
      <c r="AI32" s="355"/>
      <c r="AJ32" s="355"/>
      <c r="AK32" s="355"/>
      <c r="AX32" s="442" t="s">
        <v>339</v>
      </c>
      <c r="AY32" s="426">
        <v>0.36180555555555555</v>
      </c>
      <c r="AZ32" s="408">
        <v>46067</v>
      </c>
      <c r="BA32" s="444">
        <v>291</v>
      </c>
      <c r="BB32" s="427">
        <v>3887</v>
      </c>
      <c r="BC32" s="427">
        <f t="shared" si="1"/>
        <v>15</v>
      </c>
      <c r="BD32" s="385">
        <v>10474</v>
      </c>
      <c r="BE32" s="385" t="s">
        <v>46</v>
      </c>
      <c r="BF32" s="385" t="s">
        <v>510</v>
      </c>
      <c r="BG32" s="470"/>
      <c r="BH32" s="355"/>
      <c r="BI32" s="355"/>
      <c r="BK32" s="385"/>
      <c r="BL32" s="426">
        <v>0.35347222222222219</v>
      </c>
      <c r="BM32" s="408">
        <v>45126</v>
      </c>
      <c r="BN32" s="388">
        <v>90</v>
      </c>
      <c r="BO32" s="385">
        <v>8234.5</v>
      </c>
      <c r="BP32" s="407">
        <f t="shared" si="9"/>
        <v>0.15111111111111517</v>
      </c>
      <c r="BQ32" s="440">
        <v>6374</v>
      </c>
      <c r="BR32" s="385"/>
      <c r="BS32" s="385"/>
      <c r="BT32" s="385"/>
      <c r="BU32" s="355"/>
      <c r="BV32" s="385"/>
      <c r="BW32" s="385"/>
      <c r="BX32" s="387">
        <v>45105</v>
      </c>
      <c r="BY32" s="388">
        <v>74</v>
      </c>
      <c r="BZ32" s="385">
        <v>9009.6</v>
      </c>
      <c r="CA32" s="648">
        <f t="shared" si="10"/>
        <v>0.15999999999999595</v>
      </c>
      <c r="CB32" s="385" t="s">
        <v>557</v>
      </c>
      <c r="CC32" s="385"/>
      <c r="CD32" s="385"/>
      <c r="CH32" s="451">
        <v>0.72222222222222221</v>
      </c>
      <c r="CI32" s="421">
        <v>45655</v>
      </c>
      <c r="CJ32" s="452">
        <v>209</v>
      </c>
      <c r="CK32" s="452">
        <v>623</v>
      </c>
      <c r="CL32" s="527">
        <f t="shared" si="17"/>
        <v>6.23</v>
      </c>
      <c r="CM32" s="476">
        <v>7416</v>
      </c>
      <c r="CN32" s="452"/>
      <c r="CO32" s="452"/>
      <c r="CS32" s="451">
        <v>0.55069444444444449</v>
      </c>
      <c r="CT32" s="421">
        <v>45460</v>
      </c>
      <c r="CU32" s="452">
        <v>140</v>
      </c>
      <c r="CV32" s="452">
        <v>6066</v>
      </c>
      <c r="CW32" s="429">
        <f t="shared" si="31"/>
        <v>0</v>
      </c>
      <c r="CX32" s="452">
        <v>3986</v>
      </c>
      <c r="CY32" s="452" t="s">
        <v>346</v>
      </c>
      <c r="CZ32" s="385" t="s">
        <v>375</v>
      </c>
      <c r="DC32" s="415" t="s">
        <v>311</v>
      </c>
      <c r="DD32" s="451"/>
      <c r="DE32" s="421">
        <v>45752</v>
      </c>
      <c r="DF32" s="452">
        <v>55</v>
      </c>
      <c r="DG32" s="452"/>
      <c r="DH32" s="651">
        <f t="shared" si="33"/>
        <v>-6328</v>
      </c>
      <c r="DI32" s="669">
        <v>8603</v>
      </c>
      <c r="DJ32" s="669" t="s">
        <v>46</v>
      </c>
      <c r="DK32" s="665" t="s">
        <v>393</v>
      </c>
      <c r="DL32" s="506" t="s">
        <v>387</v>
      </c>
      <c r="DN32" s="399" t="s">
        <v>285</v>
      </c>
      <c r="DO32" s="426"/>
      <c r="DP32" s="408">
        <v>45517</v>
      </c>
      <c r="DQ32" s="385">
        <v>254</v>
      </c>
      <c r="DR32" s="385">
        <v>623</v>
      </c>
      <c r="DS32" s="402">
        <f t="shared" si="2"/>
        <v>1.7402234636871508</v>
      </c>
      <c r="DT32" s="385">
        <v>8989</v>
      </c>
      <c r="DU32" s="402" t="s">
        <v>308</v>
      </c>
      <c r="DV32" s="385" t="s">
        <v>390</v>
      </c>
      <c r="DY32" s="426">
        <v>0.44930555555555557</v>
      </c>
      <c r="DZ32" s="408">
        <v>45714</v>
      </c>
      <c r="EA32" s="385">
        <v>320</v>
      </c>
      <c r="EB32" s="385">
        <v>748</v>
      </c>
      <c r="EC32" s="477">
        <f t="shared" si="3"/>
        <v>2.3374999999999999</v>
      </c>
      <c r="ED32" s="385">
        <v>15093</v>
      </c>
      <c r="EE32" s="385" t="s">
        <v>388</v>
      </c>
      <c r="EF32" s="385" t="s">
        <v>548</v>
      </c>
      <c r="EG32" s="470"/>
      <c r="EJ32" s="409" t="s">
        <v>376</v>
      </c>
      <c r="EK32" s="426">
        <v>0.73055555555555551</v>
      </c>
      <c r="EL32" s="408">
        <v>46058</v>
      </c>
      <c r="EM32" s="388">
        <v>96</v>
      </c>
      <c r="EN32" s="471">
        <v>1377</v>
      </c>
      <c r="EO32" s="427">
        <f t="shared" si="12"/>
        <v>0</v>
      </c>
      <c r="EP32" s="385">
        <v>10449</v>
      </c>
      <c r="EQ32" s="385" t="s">
        <v>351</v>
      </c>
      <c r="ER32" s="385" t="s">
        <v>304</v>
      </c>
      <c r="ES32" s="385"/>
      <c r="EW32" s="452" t="s">
        <v>63</v>
      </c>
      <c r="EX32" s="426">
        <v>0.46388888888888885</v>
      </c>
      <c r="EY32" s="387">
        <v>45174</v>
      </c>
      <c r="EZ32" s="388">
        <v>73</v>
      </c>
      <c r="FA32" s="385"/>
      <c r="FB32" s="407">
        <f t="shared" si="13"/>
        <v>-162.46666666666667</v>
      </c>
      <c r="FC32" s="670">
        <v>4191</v>
      </c>
      <c r="FD32" s="670"/>
      <c r="FE32" s="385"/>
      <c r="FG32" s="409" t="s">
        <v>289</v>
      </c>
      <c r="FH32" s="426">
        <v>0.36875000000000002</v>
      </c>
      <c r="FI32" s="408">
        <v>45923</v>
      </c>
      <c r="FJ32" s="385">
        <v>96</v>
      </c>
      <c r="FK32" s="385">
        <v>594</v>
      </c>
      <c r="FL32" s="511">
        <f t="shared" si="32"/>
        <v>26</v>
      </c>
      <c r="FM32" s="385">
        <v>10981</v>
      </c>
      <c r="FN32" s="385" t="s">
        <v>523</v>
      </c>
      <c r="FO32" s="385" t="s">
        <v>172</v>
      </c>
      <c r="FP32" s="385"/>
      <c r="FS32" s="451">
        <v>0.48958333333333331</v>
      </c>
      <c r="FT32" s="421">
        <v>45441</v>
      </c>
      <c r="FU32" s="452">
        <v>24</v>
      </c>
      <c r="FV32" s="452">
        <v>2402</v>
      </c>
      <c r="FW32" s="644">
        <f>(FV32-FV31)/FU31</f>
        <v>7.1428571428571425E-2</v>
      </c>
      <c r="FX32" s="452">
        <v>5676</v>
      </c>
      <c r="FY32" s="452" t="s">
        <v>554</v>
      </c>
      <c r="FZ32" s="385" t="s">
        <v>351</v>
      </c>
      <c r="GB32" s="671" t="s">
        <v>558</v>
      </c>
      <c r="GC32" s="598">
        <f>GC33+250</f>
        <v>4460</v>
      </c>
      <c r="GM32" s="419" t="s">
        <v>542</v>
      </c>
      <c r="GN32" s="426"/>
      <c r="GO32" s="408">
        <v>45820</v>
      </c>
      <c r="GP32" s="385">
        <v>42</v>
      </c>
      <c r="GQ32" s="440">
        <v>5133</v>
      </c>
      <c r="GR32" s="662">
        <f t="shared" si="34"/>
        <v>14</v>
      </c>
      <c r="GS32" s="385">
        <v>10088</v>
      </c>
      <c r="GT32" s="385" t="s">
        <v>470</v>
      </c>
      <c r="GU32" s="385" t="s">
        <v>308</v>
      </c>
      <c r="GX32" s="419" t="s">
        <v>290</v>
      </c>
      <c r="GY32" s="426">
        <v>0.625</v>
      </c>
      <c r="GZ32" s="408">
        <v>45860</v>
      </c>
      <c r="HA32" s="385">
        <v>34</v>
      </c>
      <c r="HB32" s="385">
        <v>3330</v>
      </c>
      <c r="HC32" s="385">
        <f t="shared" si="29"/>
        <v>13</v>
      </c>
      <c r="HD32" s="385">
        <v>10209</v>
      </c>
      <c r="HE32" s="385" t="s">
        <v>452</v>
      </c>
      <c r="HF32" s="385" t="s">
        <v>550</v>
      </c>
      <c r="HT32" s="419" t="s">
        <v>324</v>
      </c>
      <c r="HU32" s="426"/>
      <c r="HV32" s="408">
        <v>45932</v>
      </c>
      <c r="HW32" s="385">
        <v>9</v>
      </c>
      <c r="HX32" s="385">
        <v>1287</v>
      </c>
      <c r="HY32" s="385">
        <f t="shared" si="35"/>
        <v>0</v>
      </c>
      <c r="HZ32" s="385">
        <v>10936</v>
      </c>
      <c r="IA32" s="385"/>
      <c r="IB32" s="385" t="s">
        <v>559</v>
      </c>
      <c r="IX32" s="419" t="s">
        <v>474</v>
      </c>
      <c r="IY32" s="491">
        <v>0.72569444444444442</v>
      </c>
      <c r="IZ32" s="513">
        <v>46079</v>
      </c>
      <c r="JA32" s="493">
        <v>8</v>
      </c>
      <c r="JB32" s="469">
        <v>1672</v>
      </c>
      <c r="JC32" s="469"/>
      <c r="JD32" s="469">
        <v>13322</v>
      </c>
      <c r="JE32" s="469"/>
      <c r="JF32" s="469" t="s">
        <v>544</v>
      </c>
      <c r="JW32" s="399" t="s">
        <v>293</v>
      </c>
      <c r="JX32" s="426">
        <v>0.78055555555555556</v>
      </c>
      <c r="JY32" s="408">
        <v>46059</v>
      </c>
      <c r="JZ32" s="385">
        <v>107</v>
      </c>
      <c r="KA32" s="385">
        <v>0</v>
      </c>
      <c r="KB32" s="385">
        <v>0</v>
      </c>
      <c r="KC32" s="385">
        <v>10512</v>
      </c>
      <c r="KD32" s="385" t="s">
        <v>383</v>
      </c>
      <c r="KE32" s="385" t="s">
        <v>406</v>
      </c>
      <c r="KW32" s="409" t="s">
        <v>556</v>
      </c>
      <c r="KX32" s="387">
        <v>45275</v>
      </c>
      <c r="KY32" s="388">
        <v>67</v>
      </c>
      <c r="KZ32" s="385">
        <v>5562.9</v>
      </c>
      <c r="LA32" s="407"/>
      <c r="LB32" s="439">
        <v>7289</v>
      </c>
      <c r="LC32" s="348" t="s">
        <v>560</v>
      </c>
      <c r="LD32" s="386" t="s">
        <v>556</v>
      </c>
      <c r="LE32" s="473">
        <v>45654</v>
      </c>
      <c r="LF32" s="474">
        <v>60</v>
      </c>
      <c r="LG32" s="452">
        <v>0</v>
      </c>
      <c r="LH32" s="402">
        <f t="shared" ref="LH32:LH48" si="36">(LG32-LG31)/LF31</f>
        <v>0</v>
      </c>
      <c r="LI32" s="538">
        <v>7401</v>
      </c>
    </row>
    <row r="33" spans="2:321" ht="15.75" customHeight="1" x14ac:dyDescent="0.25">
      <c r="B33" s="640" t="s">
        <v>369</v>
      </c>
      <c r="C33" s="640"/>
      <c r="D33" s="421">
        <v>46038</v>
      </c>
      <c r="E33" s="452">
        <v>63</v>
      </c>
      <c r="F33" s="452"/>
      <c r="G33" s="452">
        <v>10611</v>
      </c>
      <c r="H33" s="452" t="s">
        <v>488</v>
      </c>
      <c r="I33" s="452" t="s">
        <v>489</v>
      </c>
      <c r="Q33" s="409" t="s">
        <v>427</v>
      </c>
      <c r="R33" s="672">
        <v>0.61319444444444449</v>
      </c>
      <c r="S33" s="561">
        <v>45894</v>
      </c>
      <c r="T33" s="502">
        <v>34</v>
      </c>
      <c r="U33" s="502">
        <v>804</v>
      </c>
      <c r="V33" s="673">
        <f>U33-U32</f>
        <v>14</v>
      </c>
      <c r="W33" s="502">
        <v>10281</v>
      </c>
      <c r="X33" s="502" t="s">
        <v>117</v>
      </c>
      <c r="Y33" s="502" t="s">
        <v>434</v>
      </c>
      <c r="Z33" s="502"/>
      <c r="AB33" s="355"/>
      <c r="AC33" s="355"/>
      <c r="AD33" s="355"/>
      <c r="AE33" s="355"/>
      <c r="AF33" s="355"/>
      <c r="AG33" s="355"/>
      <c r="AH33" s="355"/>
      <c r="AI33" s="355"/>
      <c r="AJ33" s="355"/>
      <c r="AK33" s="355"/>
      <c r="AY33" s="426">
        <v>0.69097222222222221</v>
      </c>
      <c r="AZ33" s="408">
        <v>46072</v>
      </c>
      <c r="BA33" s="444">
        <v>322</v>
      </c>
      <c r="BB33" s="427">
        <v>3905</v>
      </c>
      <c r="BC33" s="427">
        <f t="shared" si="1"/>
        <v>18</v>
      </c>
      <c r="BD33" s="385">
        <v>9716</v>
      </c>
      <c r="BE33" s="385" t="s">
        <v>46</v>
      </c>
      <c r="BF33" s="385" t="s">
        <v>510</v>
      </c>
      <c r="BG33" s="470"/>
      <c r="BH33" s="355"/>
      <c r="BI33" s="355"/>
      <c r="BK33" s="385"/>
      <c r="BL33" s="451">
        <v>0.64236111111111105</v>
      </c>
      <c r="BM33" s="421">
        <v>45128</v>
      </c>
      <c r="BN33" s="452">
        <v>96</v>
      </c>
      <c r="BO33" s="452">
        <v>8254</v>
      </c>
      <c r="BP33" s="402">
        <f t="shared" si="9"/>
        <v>0.21666666666666667</v>
      </c>
      <c r="BQ33" s="476">
        <v>6401</v>
      </c>
      <c r="BR33" s="452"/>
      <c r="BS33" s="452"/>
      <c r="BT33" s="385"/>
      <c r="BU33" s="355"/>
      <c r="BV33" s="385"/>
      <c r="BW33" s="385"/>
      <c r="BX33" s="387">
        <v>45110</v>
      </c>
      <c r="BY33" s="388">
        <v>120</v>
      </c>
      <c r="BZ33" s="385">
        <v>9034.7000000000007</v>
      </c>
      <c r="CA33" s="648">
        <f t="shared" si="10"/>
        <v>0.33918918918919411</v>
      </c>
      <c r="CB33" s="385" t="s">
        <v>561</v>
      </c>
      <c r="CC33" s="385"/>
      <c r="CD33" s="385"/>
      <c r="CG33" s="442" t="s">
        <v>307</v>
      </c>
      <c r="CH33" s="451">
        <v>0.72916666666666663</v>
      </c>
      <c r="CI33" s="421">
        <v>45294</v>
      </c>
      <c r="CJ33" s="452">
        <v>160</v>
      </c>
      <c r="CK33" s="452">
        <v>640</v>
      </c>
      <c r="CL33" s="527">
        <f t="shared" si="17"/>
        <v>8.1339712918660281E-2</v>
      </c>
      <c r="CM33" s="476">
        <v>7508</v>
      </c>
      <c r="CN33" s="452"/>
      <c r="CO33" s="452"/>
      <c r="CR33" s="399" t="s">
        <v>310</v>
      </c>
      <c r="CS33" s="451">
        <v>0.41319444444444442</v>
      </c>
      <c r="CT33" s="421">
        <v>45471</v>
      </c>
      <c r="CU33" s="452">
        <v>160</v>
      </c>
      <c r="CV33" s="452">
        <v>6090</v>
      </c>
      <c r="CW33" s="429">
        <f t="shared" si="31"/>
        <v>0.17142857142857143</v>
      </c>
      <c r="CX33" s="452">
        <v>4021</v>
      </c>
      <c r="CY33" s="452" t="s">
        <v>346</v>
      </c>
      <c r="CZ33" s="385" t="s">
        <v>375</v>
      </c>
      <c r="DD33" s="451">
        <v>0.45347222222222222</v>
      </c>
      <c r="DE33" s="421">
        <v>45754</v>
      </c>
      <c r="DF33" s="452">
        <v>45</v>
      </c>
      <c r="DG33" s="452">
        <v>6359</v>
      </c>
      <c r="DH33" s="651">
        <f t="shared" si="33"/>
        <v>6359</v>
      </c>
      <c r="DI33" s="452">
        <v>12114</v>
      </c>
      <c r="DJ33" s="452" t="s">
        <v>46</v>
      </c>
      <c r="DK33" s="452" t="s">
        <v>393</v>
      </c>
      <c r="DO33" s="451">
        <v>0.60624999999999996</v>
      </c>
      <c r="DP33" s="421">
        <v>45520</v>
      </c>
      <c r="DQ33" s="452">
        <v>341</v>
      </c>
      <c r="DR33" s="452">
        <v>645</v>
      </c>
      <c r="DS33" s="402">
        <f t="shared" si="2"/>
        <v>8.6614173228346455E-2</v>
      </c>
      <c r="DT33" s="452">
        <v>6506</v>
      </c>
      <c r="DU33" s="402" t="s">
        <v>308</v>
      </c>
      <c r="DV33" s="452" t="s">
        <v>390</v>
      </c>
      <c r="DX33" s="415" t="s">
        <v>286</v>
      </c>
      <c r="DY33" s="674">
        <v>0.37847222222222221</v>
      </c>
      <c r="DZ33" s="675">
        <v>45717</v>
      </c>
      <c r="EA33" s="676">
        <v>315</v>
      </c>
      <c r="EB33" s="676">
        <v>753</v>
      </c>
      <c r="EC33" s="677">
        <f t="shared" si="3"/>
        <v>1.5625E-2</v>
      </c>
      <c r="ED33" s="676">
        <v>14063</v>
      </c>
      <c r="EE33" s="676" t="s">
        <v>388</v>
      </c>
      <c r="EF33" s="676" t="s">
        <v>548</v>
      </c>
      <c r="EG33" s="519"/>
      <c r="EK33" s="678"/>
      <c r="EL33" s="679">
        <v>46063</v>
      </c>
      <c r="EM33" s="388">
        <v>80</v>
      </c>
      <c r="EN33" s="680"/>
      <c r="EO33" s="681">
        <f t="shared" si="12"/>
        <v>-1377</v>
      </c>
      <c r="EP33" s="682" t="s">
        <v>562</v>
      </c>
      <c r="EQ33" s="682" t="s">
        <v>351</v>
      </c>
      <c r="ER33" s="682" t="s">
        <v>304</v>
      </c>
      <c r="ES33" s="683" t="s">
        <v>563</v>
      </c>
      <c r="EW33" s="385"/>
      <c r="EX33" s="426">
        <v>0.39027777777777778</v>
      </c>
      <c r="EY33" s="387">
        <v>45175</v>
      </c>
      <c r="EZ33" s="388">
        <v>52</v>
      </c>
      <c r="FA33" s="385">
        <v>4814</v>
      </c>
      <c r="FB33" s="407">
        <f t="shared" si="13"/>
        <v>65.945205479452056</v>
      </c>
      <c r="FC33" s="385">
        <v>4924</v>
      </c>
      <c r="FD33" s="385"/>
      <c r="FE33" s="385"/>
      <c r="FH33" s="426">
        <v>0.43055555555555558</v>
      </c>
      <c r="FI33" s="408">
        <v>45925</v>
      </c>
      <c r="FJ33" s="385">
        <v>100</v>
      </c>
      <c r="FK33" s="385">
        <v>621</v>
      </c>
      <c r="FL33" s="511">
        <f t="shared" si="32"/>
        <v>27</v>
      </c>
      <c r="FM33" s="385">
        <v>10997</v>
      </c>
      <c r="FN33" s="385" t="s">
        <v>523</v>
      </c>
      <c r="FO33" s="385" t="s">
        <v>172</v>
      </c>
      <c r="FP33" s="385"/>
      <c r="FR33" s="509" t="s">
        <v>288</v>
      </c>
      <c r="FS33" s="426">
        <v>0.46944444444444444</v>
      </c>
      <c r="FT33" s="408">
        <v>45444</v>
      </c>
      <c r="FU33" s="385">
        <v>94</v>
      </c>
      <c r="FV33" s="385">
        <v>2426</v>
      </c>
      <c r="FW33" s="630">
        <f t="shared" ref="FW33:FW61" si="37">(FV33-FV31)/FU31</f>
        <v>0.35714285714285715</v>
      </c>
      <c r="FX33" s="385">
        <v>3711</v>
      </c>
      <c r="FY33" s="385" t="s">
        <v>554</v>
      </c>
      <c r="FZ33" s="385" t="s">
        <v>351</v>
      </c>
      <c r="GB33" s="597" t="s">
        <v>564</v>
      </c>
      <c r="GC33" s="598">
        <v>4210</v>
      </c>
      <c r="GM33" s="419" t="s">
        <v>542</v>
      </c>
      <c r="GN33" s="426">
        <v>0.68333333333333335</v>
      </c>
      <c r="GO33" s="408">
        <v>45853</v>
      </c>
      <c r="GP33" s="385">
        <v>70</v>
      </c>
      <c r="GQ33" s="440">
        <v>5164</v>
      </c>
      <c r="GR33" s="662">
        <f t="shared" si="34"/>
        <v>31</v>
      </c>
      <c r="GS33" s="385">
        <v>10154</v>
      </c>
      <c r="GT33" s="385" t="s">
        <v>175</v>
      </c>
      <c r="GU33" s="385" t="s">
        <v>565</v>
      </c>
      <c r="GX33" s="419" t="s">
        <v>290</v>
      </c>
      <c r="GY33" s="426">
        <v>0.39097222222222222</v>
      </c>
      <c r="GZ33" s="408">
        <v>45873</v>
      </c>
      <c r="HA33" s="385">
        <v>40</v>
      </c>
      <c r="HB33" s="385">
        <v>3345</v>
      </c>
      <c r="HC33" s="385">
        <f t="shared" si="29"/>
        <v>15</v>
      </c>
      <c r="HD33" s="385">
        <v>11351</v>
      </c>
      <c r="HE33" s="385" t="s">
        <v>452</v>
      </c>
      <c r="HF33" s="385" t="s">
        <v>550</v>
      </c>
      <c r="HT33" s="419" t="s">
        <v>324</v>
      </c>
      <c r="HU33" s="426">
        <v>0.51388888888888884</v>
      </c>
      <c r="HV33" s="408">
        <v>45948</v>
      </c>
      <c r="HW33" s="385">
        <v>6</v>
      </c>
      <c r="HX33" s="385">
        <v>1293</v>
      </c>
      <c r="HY33" s="385">
        <f t="shared" si="35"/>
        <v>6</v>
      </c>
      <c r="HZ33" s="385">
        <v>11553</v>
      </c>
      <c r="IA33" s="385"/>
      <c r="IB33" s="385" t="s">
        <v>559</v>
      </c>
      <c r="JW33" s="399" t="s">
        <v>293</v>
      </c>
      <c r="JX33" s="426">
        <v>0.55000000000000004</v>
      </c>
      <c r="JY33" s="408">
        <v>46093</v>
      </c>
      <c r="JZ33" s="385">
        <v>22</v>
      </c>
      <c r="KA33" s="385">
        <v>0</v>
      </c>
      <c r="KB33" s="385">
        <v>0</v>
      </c>
      <c r="KC33" s="385">
        <v>11764</v>
      </c>
      <c r="KD33" s="385" t="s">
        <v>383</v>
      </c>
      <c r="KE33" s="385"/>
      <c r="KW33" s="409" t="s">
        <v>556</v>
      </c>
      <c r="KX33" s="387">
        <v>45286</v>
      </c>
      <c r="KY33" s="388">
        <v>50</v>
      </c>
      <c r="KZ33" s="385">
        <v>5621</v>
      </c>
      <c r="LA33" s="407">
        <f t="shared" ref="LA33:LA51" si="38">(KZ33-KZ32)/KY32</f>
        <v>0.86716417910448307</v>
      </c>
      <c r="LB33" s="439">
        <v>7372</v>
      </c>
      <c r="LD33" s="386" t="s">
        <v>556</v>
      </c>
      <c r="LE33" s="421">
        <v>45294</v>
      </c>
      <c r="LF33" s="474">
        <v>60</v>
      </c>
      <c r="LG33" s="452">
        <v>0</v>
      </c>
      <c r="LH33" s="402">
        <f t="shared" si="36"/>
        <v>0</v>
      </c>
      <c r="LI33" s="684">
        <v>7507</v>
      </c>
    </row>
    <row r="34" spans="2:321" ht="15.75" customHeight="1" x14ac:dyDescent="0.25">
      <c r="B34" s="467" t="s">
        <v>369</v>
      </c>
      <c r="C34" s="467"/>
      <c r="D34" s="421">
        <v>46039</v>
      </c>
      <c r="E34" s="452">
        <v>57</v>
      </c>
      <c r="F34" s="452"/>
      <c r="G34" s="452">
        <v>10619</v>
      </c>
      <c r="H34" s="452" t="s">
        <v>488</v>
      </c>
      <c r="I34" s="385" t="s">
        <v>489</v>
      </c>
      <c r="R34" s="672">
        <v>0.74236111111111114</v>
      </c>
      <c r="S34" s="561">
        <v>45896</v>
      </c>
      <c r="T34" s="502">
        <v>30</v>
      </c>
      <c r="U34" s="502">
        <v>817</v>
      </c>
      <c r="V34" s="673">
        <f t="shared" ref="V34:V61" si="39">U34-U33</f>
        <v>13</v>
      </c>
      <c r="W34" s="502">
        <v>10293</v>
      </c>
      <c r="X34" s="502" t="s">
        <v>117</v>
      </c>
      <c r="Y34" s="502" t="s">
        <v>566</v>
      </c>
      <c r="Z34" s="502"/>
      <c r="AB34" s="355"/>
      <c r="AC34" s="355"/>
      <c r="AD34" s="355"/>
      <c r="AE34" s="355"/>
      <c r="AF34" s="355"/>
      <c r="AG34" s="355"/>
      <c r="AH34" s="355"/>
      <c r="AI34" s="355"/>
      <c r="AJ34" s="355"/>
      <c r="AK34" s="355"/>
      <c r="AX34" s="442" t="s">
        <v>339</v>
      </c>
      <c r="AY34" s="426">
        <v>0.49444444444444446</v>
      </c>
      <c r="AZ34" s="408">
        <v>46078</v>
      </c>
      <c r="BA34" s="444">
        <v>342</v>
      </c>
      <c r="BB34" s="427">
        <v>3930</v>
      </c>
      <c r="BC34" s="427">
        <f t="shared" si="1"/>
        <v>25</v>
      </c>
      <c r="BD34" s="385">
        <v>13313</v>
      </c>
      <c r="BE34" s="385" t="s">
        <v>46</v>
      </c>
      <c r="BF34" s="385" t="s">
        <v>510</v>
      </c>
      <c r="BG34" s="470"/>
      <c r="BH34" s="355"/>
      <c r="BI34" s="355"/>
      <c r="BK34" s="385"/>
      <c r="BL34" s="426">
        <v>0.57500000000000007</v>
      </c>
      <c r="BM34" s="408">
        <v>45131</v>
      </c>
      <c r="BN34" s="385">
        <v>91</v>
      </c>
      <c r="BO34" s="385">
        <v>8267.5</v>
      </c>
      <c r="BP34" s="402">
        <f t="shared" si="9"/>
        <v>0.140625</v>
      </c>
      <c r="BQ34" s="440">
        <v>6416</v>
      </c>
      <c r="BR34" s="385"/>
      <c r="BS34" s="385"/>
      <c r="BT34" s="385"/>
      <c r="BU34" s="355"/>
      <c r="BV34" s="385"/>
      <c r="BW34" s="385"/>
      <c r="BX34" s="387">
        <v>45113</v>
      </c>
      <c r="BY34" s="388">
        <v>79</v>
      </c>
      <c r="BZ34" s="385">
        <v>9055</v>
      </c>
      <c r="CA34" s="648">
        <f t="shared" si="10"/>
        <v>0.16916666666666061</v>
      </c>
      <c r="CB34" s="385" t="s">
        <v>567</v>
      </c>
      <c r="CC34" s="385"/>
      <c r="CD34" s="385"/>
      <c r="CG34" s="442" t="s">
        <v>307</v>
      </c>
      <c r="CH34" s="426">
        <v>0.4513888888888889</v>
      </c>
      <c r="CI34" s="408">
        <v>45299</v>
      </c>
      <c r="CJ34" s="385">
        <v>135</v>
      </c>
      <c r="CK34" s="385">
        <v>658</v>
      </c>
      <c r="CL34" s="527">
        <f t="shared" si="17"/>
        <v>0.1125</v>
      </c>
      <c r="CM34" s="440">
        <v>7540</v>
      </c>
      <c r="CN34" s="385"/>
      <c r="CO34" s="385"/>
      <c r="CR34" s="399" t="s">
        <v>310</v>
      </c>
      <c r="CS34" s="451">
        <v>0.36527777777777776</v>
      </c>
      <c r="CT34" s="421">
        <v>45478</v>
      </c>
      <c r="CU34" s="452">
        <v>201</v>
      </c>
      <c r="CV34" s="452">
        <v>6111</v>
      </c>
      <c r="CW34" s="429">
        <f t="shared" si="31"/>
        <v>0.13125000000000001</v>
      </c>
      <c r="CX34" s="452">
        <v>4050</v>
      </c>
      <c r="CY34" s="452" t="s">
        <v>388</v>
      </c>
      <c r="CZ34" s="452" t="s">
        <v>568</v>
      </c>
      <c r="DD34" s="451">
        <v>0.50277777777777777</v>
      </c>
      <c r="DE34" s="421">
        <v>45756</v>
      </c>
      <c r="DF34" s="452">
        <v>33</v>
      </c>
      <c r="DG34" s="452">
        <v>6370</v>
      </c>
      <c r="DH34" s="651">
        <f t="shared" si="33"/>
        <v>11</v>
      </c>
      <c r="DI34" s="452">
        <v>12141</v>
      </c>
      <c r="DJ34" s="452" t="s">
        <v>46</v>
      </c>
      <c r="DK34" s="452" t="s">
        <v>393</v>
      </c>
      <c r="DN34" s="399" t="s">
        <v>285</v>
      </c>
      <c r="DO34" s="426">
        <v>0.59097222222222223</v>
      </c>
      <c r="DP34" s="408">
        <v>45523</v>
      </c>
      <c r="DQ34" s="385">
        <v>131</v>
      </c>
      <c r="DR34" s="385">
        <v>658</v>
      </c>
      <c r="DS34" s="402">
        <f t="shared" si="2"/>
        <v>3.8123167155425221E-2</v>
      </c>
      <c r="DT34" s="385">
        <v>8566</v>
      </c>
      <c r="DU34" s="402" t="s">
        <v>308</v>
      </c>
      <c r="DV34" s="385" t="s">
        <v>390</v>
      </c>
      <c r="DY34" s="674">
        <v>0.43958333333333333</v>
      </c>
      <c r="DZ34" s="675">
        <v>45721</v>
      </c>
      <c r="EA34" s="676">
        <v>285</v>
      </c>
      <c r="EB34" s="676">
        <v>792</v>
      </c>
      <c r="EC34" s="677">
        <f t="shared" si="3"/>
        <v>0.12380952380952381</v>
      </c>
      <c r="ED34" s="676">
        <v>14063</v>
      </c>
      <c r="EE34" s="676" t="s">
        <v>388</v>
      </c>
      <c r="EF34" s="676" t="s">
        <v>548</v>
      </c>
      <c r="EG34" s="519"/>
      <c r="EJ34" s="409" t="s">
        <v>376</v>
      </c>
      <c r="EK34" s="426">
        <v>0.69861111111111107</v>
      </c>
      <c r="EL34" s="408">
        <v>46069</v>
      </c>
      <c r="EM34" s="388">
        <v>97</v>
      </c>
      <c r="EN34" s="385">
        <v>1455</v>
      </c>
      <c r="EO34" s="427">
        <f>EN34-EN32</f>
        <v>78</v>
      </c>
      <c r="EP34" s="385">
        <v>10481</v>
      </c>
      <c r="EQ34" s="385" t="s">
        <v>351</v>
      </c>
      <c r="ER34" s="385" t="s">
        <v>304</v>
      </c>
      <c r="ES34" s="385"/>
      <c r="EW34" s="452" t="s">
        <v>63</v>
      </c>
      <c r="EX34" s="426">
        <v>0.70624999999999993</v>
      </c>
      <c r="EY34" s="387">
        <v>45188</v>
      </c>
      <c r="EZ34" s="388">
        <v>115</v>
      </c>
      <c r="FA34" s="685"/>
      <c r="FB34" s="407">
        <f t="shared" si="13"/>
        <v>-92.57692307692308</v>
      </c>
      <c r="FC34" s="385">
        <v>5779</v>
      </c>
      <c r="FD34" s="385"/>
      <c r="FE34" s="385"/>
      <c r="FG34" s="409" t="s">
        <v>289</v>
      </c>
      <c r="FH34" s="426">
        <v>0.3576388888888889</v>
      </c>
      <c r="FI34" s="408">
        <v>45929</v>
      </c>
      <c r="FJ34" s="385">
        <v>85</v>
      </c>
      <c r="FK34" s="471">
        <v>621</v>
      </c>
      <c r="FL34" s="511">
        <f t="shared" si="32"/>
        <v>0</v>
      </c>
      <c r="FM34" s="385">
        <v>10912</v>
      </c>
      <c r="FN34" s="385" t="s">
        <v>523</v>
      </c>
      <c r="FO34" s="385" t="s">
        <v>172</v>
      </c>
      <c r="FP34" s="385"/>
      <c r="FS34" s="451">
        <v>0.37847222222222221</v>
      </c>
      <c r="FT34" s="421">
        <v>45448</v>
      </c>
      <c r="FU34" s="452">
        <v>59</v>
      </c>
      <c r="FV34" s="452">
        <v>2442</v>
      </c>
      <c r="FW34" s="644">
        <f t="shared" si="37"/>
        <v>1.6666666666666667</v>
      </c>
      <c r="FX34" s="452">
        <v>3740</v>
      </c>
      <c r="FY34" s="452" t="s">
        <v>554</v>
      </c>
      <c r="FZ34" s="452" t="s">
        <v>351</v>
      </c>
      <c r="GM34" s="419" t="s">
        <v>542</v>
      </c>
      <c r="GN34" s="426">
        <v>0.54027777777777775</v>
      </c>
      <c r="GO34" s="408">
        <v>45859</v>
      </c>
      <c r="GP34" s="385">
        <v>115</v>
      </c>
      <c r="GQ34" s="440">
        <v>5195</v>
      </c>
      <c r="GR34" s="662">
        <f t="shared" si="34"/>
        <v>31</v>
      </c>
      <c r="GS34" s="385">
        <v>10203</v>
      </c>
      <c r="GT34" s="385" t="s">
        <v>175</v>
      </c>
      <c r="GU34" s="385" t="s">
        <v>565</v>
      </c>
      <c r="GX34" s="419" t="s">
        <v>290</v>
      </c>
      <c r="GY34" s="426">
        <v>0.375</v>
      </c>
      <c r="GZ34" s="408">
        <v>45913</v>
      </c>
      <c r="HA34" s="385">
        <v>20</v>
      </c>
      <c r="HB34" s="385">
        <v>3354</v>
      </c>
      <c r="HC34" s="385">
        <f t="shared" si="29"/>
        <v>9</v>
      </c>
      <c r="HD34" s="385">
        <v>10345</v>
      </c>
      <c r="HE34" s="385" t="s">
        <v>320</v>
      </c>
      <c r="HF34" s="385" t="s">
        <v>569</v>
      </c>
      <c r="HT34" s="419" t="s">
        <v>324</v>
      </c>
      <c r="HU34" s="426">
        <v>0.63888888888888884</v>
      </c>
      <c r="HV34" s="408">
        <v>45973</v>
      </c>
      <c r="HW34" s="385">
        <v>9</v>
      </c>
      <c r="HX34" s="385">
        <v>1297</v>
      </c>
      <c r="HY34" s="385">
        <f t="shared" si="35"/>
        <v>4</v>
      </c>
      <c r="HZ34" s="385">
        <v>11170</v>
      </c>
      <c r="IA34" s="385"/>
      <c r="IB34" s="385" t="s">
        <v>570</v>
      </c>
      <c r="JW34" s="399" t="s">
        <v>293</v>
      </c>
      <c r="JX34" s="491">
        <v>0.32291666666666669</v>
      </c>
      <c r="JY34" s="513">
        <v>46097</v>
      </c>
      <c r="JZ34" s="469">
        <v>50</v>
      </c>
      <c r="KA34" s="469">
        <v>0</v>
      </c>
      <c r="KB34" s="469">
        <v>0</v>
      </c>
      <c r="KC34" s="469">
        <v>11782</v>
      </c>
      <c r="KD34" s="469" t="s">
        <v>383</v>
      </c>
      <c r="KE34" s="469"/>
      <c r="KW34" s="409" t="s">
        <v>556</v>
      </c>
      <c r="KX34" s="473">
        <v>45288</v>
      </c>
      <c r="KY34" s="474">
        <v>100</v>
      </c>
      <c r="KZ34" s="452"/>
      <c r="LA34" s="402">
        <f t="shared" si="38"/>
        <v>-112.42</v>
      </c>
      <c r="LB34" s="538"/>
      <c r="LD34" s="386" t="s">
        <v>556</v>
      </c>
      <c r="LE34" s="561">
        <v>45300</v>
      </c>
      <c r="LF34" s="464">
        <v>50</v>
      </c>
      <c r="LG34" s="502">
        <v>0</v>
      </c>
      <c r="LH34" s="503">
        <f t="shared" si="36"/>
        <v>0</v>
      </c>
      <c r="LI34" s="385"/>
    </row>
    <row r="35" spans="2:321" ht="15.75" customHeight="1" x14ac:dyDescent="0.25">
      <c r="B35" s="467" t="s">
        <v>369</v>
      </c>
      <c r="C35" s="467"/>
      <c r="D35" s="421">
        <v>46040</v>
      </c>
      <c r="E35" s="452">
        <v>36</v>
      </c>
      <c r="F35" s="452"/>
      <c r="G35" s="452">
        <v>10620</v>
      </c>
      <c r="H35" s="452" t="s">
        <v>488</v>
      </c>
      <c r="I35" s="385" t="s">
        <v>489</v>
      </c>
      <c r="R35" s="672">
        <v>0.68958333333333333</v>
      </c>
      <c r="S35" s="561">
        <v>45897</v>
      </c>
      <c r="T35" s="502">
        <v>30</v>
      </c>
      <c r="U35" s="502">
        <v>826</v>
      </c>
      <c r="V35" s="673">
        <f t="shared" si="39"/>
        <v>9</v>
      </c>
      <c r="W35" s="502">
        <v>11402</v>
      </c>
      <c r="X35" s="502" t="s">
        <v>117</v>
      </c>
      <c r="Y35" s="502" t="s">
        <v>566</v>
      </c>
      <c r="Z35" s="502"/>
      <c r="AB35" s="355"/>
      <c r="AC35" s="355"/>
      <c r="AD35" s="355"/>
      <c r="AE35" s="355"/>
      <c r="AF35" s="355"/>
      <c r="AG35" s="355"/>
      <c r="AH35" s="355"/>
      <c r="AI35" s="355"/>
      <c r="AJ35" s="355"/>
      <c r="AK35" s="355"/>
      <c r="AX35" s="442" t="s">
        <v>339</v>
      </c>
      <c r="AY35" s="426">
        <v>0.43819444444444444</v>
      </c>
      <c r="AZ35" s="408">
        <v>46081</v>
      </c>
      <c r="BA35" s="444">
        <v>376</v>
      </c>
      <c r="BB35" s="427">
        <v>3950</v>
      </c>
      <c r="BC35" s="427">
        <f t="shared" si="1"/>
        <v>20</v>
      </c>
      <c r="BD35" s="385">
        <v>13344</v>
      </c>
      <c r="BE35" s="385" t="s">
        <v>46</v>
      </c>
      <c r="BF35" s="385" t="s">
        <v>510</v>
      </c>
      <c r="BG35" s="470"/>
      <c r="BH35" s="355"/>
      <c r="BI35" s="355"/>
      <c r="BK35" s="426"/>
      <c r="BL35" s="686">
        <v>0.59583333333333333</v>
      </c>
      <c r="BM35" s="408">
        <v>45133</v>
      </c>
      <c r="BN35" s="385">
        <v>100</v>
      </c>
      <c r="BO35" s="385">
        <v>8303</v>
      </c>
      <c r="BP35" s="402">
        <f t="shared" si="9"/>
        <v>0.39010989010989011</v>
      </c>
      <c r="BQ35" s="440">
        <v>6428</v>
      </c>
      <c r="BR35" s="385"/>
      <c r="BS35" s="385"/>
      <c r="BT35" s="385"/>
      <c r="BU35" s="355"/>
      <c r="BV35" s="385"/>
      <c r="BW35" s="385"/>
      <c r="BX35" s="387">
        <v>45115</v>
      </c>
      <c r="BY35" s="388">
        <v>120</v>
      </c>
      <c r="BZ35" s="385">
        <v>9065.2999999999993</v>
      </c>
      <c r="CA35" s="648">
        <f t="shared" si="10"/>
        <v>0.13037974683543382</v>
      </c>
      <c r="CB35" s="385">
        <v>6286</v>
      </c>
      <c r="CC35" s="385"/>
      <c r="CD35" s="385"/>
      <c r="CG35" s="442" t="s">
        <v>307</v>
      </c>
      <c r="CH35" s="451">
        <v>0.61041666666666672</v>
      </c>
      <c r="CI35" s="421">
        <v>45309</v>
      </c>
      <c r="CJ35" s="452">
        <v>196</v>
      </c>
      <c r="CK35" s="452">
        <v>678</v>
      </c>
      <c r="CL35" s="527">
        <f t="shared" si="17"/>
        <v>0.14814814814814814</v>
      </c>
      <c r="CM35" s="476">
        <v>7728</v>
      </c>
      <c r="CN35" s="452"/>
      <c r="CO35" s="452"/>
      <c r="CR35" s="399" t="s">
        <v>310</v>
      </c>
      <c r="CS35" s="426">
        <v>0.33402777777777776</v>
      </c>
      <c r="CT35" s="408">
        <v>45481</v>
      </c>
      <c r="CU35" s="385">
        <v>157</v>
      </c>
      <c r="CV35" s="385">
        <v>6125</v>
      </c>
      <c r="CW35" s="429">
        <f t="shared" si="31"/>
        <v>6.965174129353234E-2</v>
      </c>
      <c r="CX35" s="385">
        <v>4085</v>
      </c>
      <c r="CY35" s="385" t="s">
        <v>388</v>
      </c>
      <c r="CZ35" s="385" t="s">
        <v>568</v>
      </c>
      <c r="DC35" s="409" t="s">
        <v>115</v>
      </c>
      <c r="DD35" s="426">
        <v>0.375</v>
      </c>
      <c r="DE35" s="408">
        <v>45758</v>
      </c>
      <c r="DF35" s="385">
        <v>30</v>
      </c>
      <c r="DG35" s="385"/>
      <c r="DH35" s="651">
        <f t="shared" si="33"/>
        <v>-6370</v>
      </c>
      <c r="DI35" s="506">
        <v>7475</v>
      </c>
      <c r="DJ35" s="669" t="s">
        <v>46</v>
      </c>
      <c r="DK35" s="665" t="s">
        <v>393</v>
      </c>
      <c r="DL35" s="506" t="s">
        <v>387</v>
      </c>
      <c r="DO35" s="451">
        <v>0.62430555555555556</v>
      </c>
      <c r="DP35" s="421">
        <v>45525</v>
      </c>
      <c r="DQ35" s="452">
        <v>335</v>
      </c>
      <c r="DR35" s="452"/>
      <c r="DS35" s="402">
        <f t="shared" si="2"/>
        <v>-5.0229007633587788</v>
      </c>
      <c r="DT35" s="452">
        <v>6556</v>
      </c>
      <c r="DU35" s="402" t="s">
        <v>46</v>
      </c>
      <c r="DV35" s="452" t="s">
        <v>390</v>
      </c>
      <c r="DX35" s="442" t="s">
        <v>286</v>
      </c>
      <c r="DY35" s="674">
        <v>0.43541666666666667</v>
      </c>
      <c r="DZ35" s="675">
        <v>45776</v>
      </c>
      <c r="EA35" s="676">
        <v>290</v>
      </c>
      <c r="EB35" s="676">
        <v>952</v>
      </c>
      <c r="EC35" s="677">
        <f t="shared" si="3"/>
        <v>0.56140350877192979</v>
      </c>
      <c r="ED35" s="676">
        <v>9614</v>
      </c>
      <c r="EE35" s="676" t="s">
        <v>388</v>
      </c>
      <c r="EF35" s="676" t="s">
        <v>571</v>
      </c>
      <c r="EG35" s="519"/>
      <c r="EK35" s="426">
        <v>0.78333333333333333</v>
      </c>
      <c r="EL35" s="408">
        <v>46072</v>
      </c>
      <c r="EM35" s="388">
        <v>89</v>
      </c>
      <c r="EN35" s="471">
        <v>1455</v>
      </c>
      <c r="EO35" s="427">
        <f>EN35-EN34</f>
        <v>0</v>
      </c>
      <c r="EP35" s="385">
        <v>9717</v>
      </c>
      <c r="EQ35" s="385" t="s">
        <v>351</v>
      </c>
      <c r="ER35" s="385" t="s">
        <v>304</v>
      </c>
      <c r="ES35" s="385"/>
      <c r="EW35" s="687" t="s">
        <v>63</v>
      </c>
      <c r="EX35" s="426">
        <v>0.39444444444444443</v>
      </c>
      <c r="EY35" s="387">
        <v>45203</v>
      </c>
      <c r="EZ35" s="388">
        <v>141</v>
      </c>
      <c r="FA35" s="385"/>
      <c r="FB35" s="407">
        <f t="shared" si="13"/>
        <v>0</v>
      </c>
      <c r="FC35" s="385">
        <v>5910</v>
      </c>
      <c r="FD35" s="385"/>
      <c r="FE35" s="385"/>
      <c r="FH35" s="426">
        <v>0.43888888888888888</v>
      </c>
      <c r="FI35" s="408">
        <v>45932</v>
      </c>
      <c r="FJ35" s="385">
        <v>47</v>
      </c>
      <c r="FK35" s="385">
        <v>658</v>
      </c>
      <c r="FL35" s="511">
        <f t="shared" si="32"/>
        <v>37</v>
      </c>
      <c r="FM35" s="385">
        <v>10933</v>
      </c>
      <c r="FN35" s="385" t="s">
        <v>572</v>
      </c>
      <c r="FO35" s="385" t="s">
        <v>172</v>
      </c>
      <c r="FP35" s="385"/>
      <c r="FR35" s="509" t="s">
        <v>288</v>
      </c>
      <c r="FS35" s="426">
        <v>0.41388888888888886</v>
      </c>
      <c r="FT35" s="408">
        <v>45453</v>
      </c>
      <c r="FU35" s="385">
        <v>54</v>
      </c>
      <c r="FV35" s="385">
        <v>2465</v>
      </c>
      <c r="FW35" s="630">
        <f t="shared" si="37"/>
        <v>0.41489361702127658</v>
      </c>
      <c r="FX35" s="385">
        <v>3711</v>
      </c>
      <c r="FY35" s="469" t="s">
        <v>423</v>
      </c>
      <c r="FZ35" s="385" t="s">
        <v>573</v>
      </c>
      <c r="GM35" s="419" t="s">
        <v>542</v>
      </c>
      <c r="GN35" s="426">
        <v>0.375</v>
      </c>
      <c r="GO35" s="408">
        <v>45878</v>
      </c>
      <c r="GP35" s="385">
        <v>83</v>
      </c>
      <c r="GQ35" s="440">
        <v>5221</v>
      </c>
      <c r="GR35" s="662">
        <f t="shared" si="34"/>
        <v>26</v>
      </c>
      <c r="GS35" s="385">
        <v>9902</v>
      </c>
      <c r="GT35" s="385" t="s">
        <v>149</v>
      </c>
      <c r="GU35" s="385" t="s">
        <v>574</v>
      </c>
      <c r="GX35" s="419" t="s">
        <v>290</v>
      </c>
      <c r="GY35" s="426">
        <v>0.34375</v>
      </c>
      <c r="GZ35" s="408">
        <v>45937</v>
      </c>
      <c r="HA35" s="385">
        <v>26</v>
      </c>
      <c r="HB35" s="385">
        <v>3362</v>
      </c>
      <c r="HC35" s="385">
        <f t="shared" si="29"/>
        <v>8</v>
      </c>
      <c r="HD35" s="385">
        <v>10863</v>
      </c>
      <c r="HE35" s="385" t="s">
        <v>149</v>
      </c>
      <c r="HF35" s="385" t="s">
        <v>575</v>
      </c>
      <c r="HU35" s="426">
        <v>0.41597222222222224</v>
      </c>
      <c r="HV35" s="408">
        <v>45982</v>
      </c>
      <c r="HW35" s="385">
        <v>15</v>
      </c>
      <c r="HX35" s="385">
        <v>1302</v>
      </c>
      <c r="HY35" s="385">
        <f t="shared" si="35"/>
        <v>5</v>
      </c>
      <c r="HZ35" s="385">
        <v>11069</v>
      </c>
      <c r="IA35" s="385"/>
      <c r="IB35" s="385" t="s">
        <v>570</v>
      </c>
      <c r="JX35" s="491">
        <v>0.56597222222222221</v>
      </c>
      <c r="JY35" s="513">
        <v>46099</v>
      </c>
      <c r="JZ35" s="469">
        <v>8</v>
      </c>
      <c r="KA35" s="469">
        <v>0</v>
      </c>
      <c r="KB35" s="469">
        <v>0</v>
      </c>
      <c r="KC35" s="685">
        <v>12757</v>
      </c>
      <c r="KD35" s="469" t="s">
        <v>383</v>
      </c>
      <c r="KE35" s="685" t="s">
        <v>576</v>
      </c>
      <c r="KW35" s="409" t="s">
        <v>556</v>
      </c>
      <c r="KX35" s="688">
        <v>45296</v>
      </c>
      <c r="KY35" s="689">
        <v>66</v>
      </c>
      <c r="KZ35" s="684">
        <v>5951.5</v>
      </c>
      <c r="LA35" s="690">
        <f t="shared" si="38"/>
        <v>59.515000000000001</v>
      </c>
      <c r="LB35" s="452"/>
      <c r="LD35" s="385"/>
      <c r="LE35" s="561">
        <v>45302</v>
      </c>
      <c r="LF35" s="502">
        <v>93</v>
      </c>
      <c r="LG35" s="502">
        <v>6686.8</v>
      </c>
      <c r="LH35" s="503">
        <f t="shared" si="36"/>
        <v>133.73599999999999</v>
      </c>
      <c r="LI35" s="502">
        <v>7692</v>
      </c>
    </row>
    <row r="36" spans="2:321" ht="15.75" customHeight="1" x14ac:dyDescent="0.25">
      <c r="B36" s="467" t="s">
        <v>369</v>
      </c>
      <c r="C36" s="467"/>
      <c r="D36" s="421">
        <v>46041</v>
      </c>
      <c r="E36" s="452">
        <v>53</v>
      </c>
      <c r="F36" s="452"/>
      <c r="G36" s="452">
        <v>10621</v>
      </c>
      <c r="H36" s="452" t="s">
        <v>488</v>
      </c>
      <c r="I36" s="385" t="s">
        <v>489</v>
      </c>
      <c r="J36" s="426">
        <v>0.32569444444444445</v>
      </c>
      <c r="R36" s="691">
        <v>0.74236111111111114</v>
      </c>
      <c r="S36" s="688">
        <v>45898</v>
      </c>
      <c r="T36" s="684">
        <v>122</v>
      </c>
      <c r="U36" s="684">
        <v>834</v>
      </c>
      <c r="V36" s="673">
        <f t="shared" si="39"/>
        <v>8</v>
      </c>
      <c r="W36" s="684">
        <v>11410</v>
      </c>
      <c r="X36" s="684" t="s">
        <v>117</v>
      </c>
      <c r="Y36" s="684" t="s">
        <v>566</v>
      </c>
      <c r="Z36" s="684"/>
      <c r="AB36" s="355"/>
      <c r="AC36" s="355"/>
      <c r="AD36" s="355"/>
      <c r="AE36" s="355"/>
      <c r="AF36" s="355"/>
      <c r="AG36" s="355"/>
      <c r="AH36" s="355"/>
      <c r="AI36" s="355"/>
      <c r="AJ36" s="355"/>
      <c r="AK36" s="355"/>
      <c r="AY36" s="426">
        <v>0.70208333333333328</v>
      </c>
      <c r="AZ36" s="408" t="s">
        <v>577</v>
      </c>
      <c r="BA36" s="444">
        <v>153</v>
      </c>
      <c r="BB36" s="427">
        <v>3962</v>
      </c>
      <c r="BC36" s="427">
        <f t="shared" si="1"/>
        <v>12</v>
      </c>
      <c r="BD36" s="385">
        <v>11304</v>
      </c>
      <c r="BE36" s="385" t="s">
        <v>46</v>
      </c>
      <c r="BF36" s="385" t="s">
        <v>510</v>
      </c>
      <c r="BG36" s="470"/>
      <c r="BH36" s="355"/>
      <c r="BI36" s="355"/>
      <c r="BK36" s="385"/>
      <c r="BL36" s="451">
        <v>0.68472222222222223</v>
      </c>
      <c r="BM36" s="421">
        <v>45134</v>
      </c>
      <c r="BN36" s="452">
        <v>15</v>
      </c>
      <c r="BO36" s="452">
        <v>8306</v>
      </c>
      <c r="BP36" s="402">
        <f t="shared" si="9"/>
        <v>0.03</v>
      </c>
      <c r="BQ36" s="476">
        <v>6443</v>
      </c>
      <c r="BR36" s="452"/>
      <c r="BS36" s="452"/>
      <c r="BT36" s="385"/>
      <c r="BU36" s="355"/>
      <c r="BV36" s="440"/>
      <c r="BW36" s="451">
        <v>0.59861111111111109</v>
      </c>
      <c r="BX36" s="473">
        <v>45127</v>
      </c>
      <c r="BY36" s="474">
        <v>124</v>
      </c>
      <c r="BZ36" s="452">
        <v>9113</v>
      </c>
      <c r="CA36" s="692">
        <f t="shared" si="10"/>
        <v>0.39750000000000607</v>
      </c>
      <c r="CB36" s="385">
        <v>6389</v>
      </c>
      <c r="CC36" s="385"/>
      <c r="CD36" s="385"/>
      <c r="CG36" s="442" t="s">
        <v>307</v>
      </c>
      <c r="CH36" s="426">
        <v>0.65277777777777779</v>
      </c>
      <c r="CI36" s="408">
        <v>45313</v>
      </c>
      <c r="CJ36" s="385">
        <v>178</v>
      </c>
      <c r="CK36" s="385">
        <v>700</v>
      </c>
      <c r="CL36" s="527">
        <f t="shared" si="17"/>
        <v>0.11224489795918367</v>
      </c>
      <c r="CM36" s="440">
        <v>7860</v>
      </c>
      <c r="CN36" s="385"/>
      <c r="CO36" s="385"/>
      <c r="CS36" s="451">
        <v>0.67500000000000004</v>
      </c>
      <c r="CT36" s="421">
        <v>45484</v>
      </c>
      <c r="CU36" s="452">
        <v>192</v>
      </c>
      <c r="CV36" s="452">
        <v>6145</v>
      </c>
      <c r="CW36" s="429">
        <f t="shared" si="31"/>
        <v>0.12738853503184713</v>
      </c>
      <c r="CX36" s="452">
        <v>8546</v>
      </c>
      <c r="CY36" s="452" t="s">
        <v>388</v>
      </c>
      <c r="CZ36" s="385" t="s">
        <v>568</v>
      </c>
      <c r="DD36" s="426">
        <v>0.375</v>
      </c>
      <c r="DE36" s="408">
        <v>45761</v>
      </c>
      <c r="DF36" s="385">
        <v>20</v>
      </c>
      <c r="DG36" s="385"/>
      <c r="DH36" s="651">
        <f t="shared" si="33"/>
        <v>0</v>
      </c>
      <c r="DI36" s="385">
        <v>8679</v>
      </c>
      <c r="DJ36" s="385" t="s">
        <v>578</v>
      </c>
      <c r="DK36" s="385" t="s">
        <v>124</v>
      </c>
      <c r="DN36" s="399" t="s">
        <v>285</v>
      </c>
      <c r="DO36" s="426"/>
      <c r="DP36" s="408">
        <v>45528</v>
      </c>
      <c r="DQ36" s="385">
        <v>200</v>
      </c>
      <c r="DR36" s="385">
        <v>693</v>
      </c>
      <c r="DS36" s="402">
        <f t="shared" si="2"/>
        <v>2.0686567164179106</v>
      </c>
      <c r="DT36" s="385">
        <v>6579</v>
      </c>
      <c r="DU36" s="402" t="s">
        <v>46</v>
      </c>
      <c r="DV36" s="385" t="s">
        <v>390</v>
      </c>
      <c r="DX36" s="442" t="s">
        <v>286</v>
      </c>
      <c r="DY36" s="674">
        <v>0.34027777777777779</v>
      </c>
      <c r="DZ36" s="675">
        <v>45780</v>
      </c>
      <c r="EA36" s="676">
        <v>219</v>
      </c>
      <c r="EB36" s="676"/>
      <c r="EC36" s="677">
        <f t="shared" si="3"/>
        <v>-3.2827586206896551</v>
      </c>
      <c r="ED36" s="676">
        <v>9235</v>
      </c>
      <c r="EE36" s="676" t="s">
        <v>388</v>
      </c>
      <c r="EF36" s="676" t="s">
        <v>571</v>
      </c>
      <c r="EG36" s="519" t="s">
        <v>579</v>
      </c>
      <c r="EJ36" s="409" t="s">
        <v>376</v>
      </c>
      <c r="EK36" s="426">
        <v>0.52152777777777781</v>
      </c>
      <c r="EL36" s="408">
        <v>46077</v>
      </c>
      <c r="EM36" s="388">
        <v>95</v>
      </c>
      <c r="EN36" s="385">
        <v>1501</v>
      </c>
      <c r="EO36" s="427">
        <f>EN36-EN35</f>
        <v>46</v>
      </c>
      <c r="EP36" s="385">
        <v>13306</v>
      </c>
      <c r="EQ36" s="385" t="s">
        <v>351</v>
      </c>
      <c r="ER36" s="385" t="s">
        <v>304</v>
      </c>
      <c r="ES36" s="385"/>
      <c r="EW36" s="687" t="s">
        <v>63</v>
      </c>
      <c r="EX36" s="426">
        <v>0.58333333333333337</v>
      </c>
      <c r="EY36" s="387">
        <v>45211</v>
      </c>
      <c r="EZ36" s="388">
        <v>59</v>
      </c>
      <c r="FA36" s="385"/>
      <c r="FB36" s="407"/>
      <c r="FC36" s="385">
        <v>4320</v>
      </c>
      <c r="FD36" s="385"/>
      <c r="FE36" s="385"/>
      <c r="FG36" s="409" t="s">
        <v>289</v>
      </c>
      <c r="FH36" s="426">
        <v>0.73472222222222228</v>
      </c>
      <c r="FI36" s="408">
        <v>45961</v>
      </c>
      <c r="FJ36" s="385">
        <v>78</v>
      </c>
      <c r="FK36" s="539">
        <v>682</v>
      </c>
      <c r="FL36" s="511">
        <f t="shared" si="32"/>
        <v>24</v>
      </c>
      <c r="FM36" s="385">
        <v>11789</v>
      </c>
      <c r="FN36" s="385" t="s">
        <v>149</v>
      </c>
      <c r="FO36" s="385" t="s">
        <v>436</v>
      </c>
      <c r="FP36" s="385"/>
      <c r="FS36" s="426">
        <v>0.58680555555555558</v>
      </c>
      <c r="FT36" s="408">
        <v>45455</v>
      </c>
      <c r="FU36" s="385">
        <v>32</v>
      </c>
      <c r="FV36" s="385">
        <v>2476</v>
      </c>
      <c r="FW36" s="630">
        <f t="shared" si="37"/>
        <v>0.57627118644067798</v>
      </c>
      <c r="FX36" s="385">
        <v>3951</v>
      </c>
      <c r="FY36" s="591" t="s">
        <v>323</v>
      </c>
      <c r="FZ36" s="385" t="s">
        <v>351</v>
      </c>
      <c r="GN36" s="426">
        <v>0.32500000000000001</v>
      </c>
      <c r="GO36" s="408">
        <v>45880</v>
      </c>
      <c r="GP36" s="385">
        <v>4</v>
      </c>
      <c r="GQ36" s="440">
        <v>5221</v>
      </c>
      <c r="GR36" s="662">
        <f t="shared" si="34"/>
        <v>0</v>
      </c>
      <c r="GS36" s="385">
        <v>11400</v>
      </c>
      <c r="GT36" s="385" t="s">
        <v>149</v>
      </c>
      <c r="GU36" s="385" t="s">
        <v>551</v>
      </c>
      <c r="GX36" s="419" t="s">
        <v>290</v>
      </c>
      <c r="GY36" s="426">
        <v>0.47708333333333336</v>
      </c>
      <c r="GZ36" s="408">
        <v>45997</v>
      </c>
      <c r="HA36" s="385">
        <v>65</v>
      </c>
      <c r="HB36" s="385">
        <v>3398</v>
      </c>
      <c r="HC36" s="385">
        <f t="shared" si="29"/>
        <v>36</v>
      </c>
      <c r="HD36" s="385">
        <v>11205</v>
      </c>
      <c r="HE36" s="385" t="s">
        <v>555</v>
      </c>
      <c r="HF36" s="385" t="s">
        <v>388</v>
      </c>
      <c r="HT36" s="419" t="s">
        <v>324</v>
      </c>
      <c r="HU36" s="426">
        <v>0.63541666666666663</v>
      </c>
      <c r="HV36" s="408">
        <v>45993</v>
      </c>
      <c r="HW36" s="385">
        <v>12</v>
      </c>
      <c r="HX36" s="385">
        <v>1306</v>
      </c>
      <c r="HY36" s="385">
        <f t="shared" si="35"/>
        <v>4</v>
      </c>
      <c r="HZ36" s="385">
        <v>11277</v>
      </c>
      <c r="IA36" s="385"/>
      <c r="IB36" s="385" t="s">
        <v>570</v>
      </c>
      <c r="JX36" s="491">
        <v>0.47499999999999998</v>
      </c>
      <c r="JY36" s="513">
        <v>46101</v>
      </c>
      <c r="JZ36" s="469">
        <v>29</v>
      </c>
      <c r="KA36" s="469">
        <v>0</v>
      </c>
      <c r="KB36" s="469">
        <v>0</v>
      </c>
      <c r="KC36" s="469">
        <v>12781</v>
      </c>
      <c r="KD36" s="469" t="s">
        <v>383</v>
      </c>
      <c r="KE36" s="469" t="s">
        <v>168</v>
      </c>
      <c r="KW36" s="385"/>
      <c r="KX36" s="408"/>
      <c r="KY36" s="388"/>
      <c r="KZ36" s="385"/>
      <c r="LA36" s="407">
        <f t="shared" si="38"/>
        <v>-90.174242424242422</v>
      </c>
      <c r="LB36" s="385"/>
      <c r="LD36" s="385"/>
      <c r="LE36" s="421"/>
      <c r="LF36" s="452"/>
      <c r="LG36" s="452"/>
      <c r="LH36" s="402">
        <f t="shared" si="36"/>
        <v>-71.901075268817209</v>
      </c>
      <c r="LI36" s="573"/>
    </row>
    <row r="37" spans="2:321" ht="15.75" customHeight="1" x14ac:dyDescent="0.25">
      <c r="B37" s="467" t="s">
        <v>369</v>
      </c>
      <c r="C37" s="467"/>
      <c r="D37" s="421">
        <v>46041</v>
      </c>
      <c r="E37" s="452">
        <v>22</v>
      </c>
      <c r="F37" s="452"/>
      <c r="G37" s="452">
        <v>10625</v>
      </c>
      <c r="H37" s="452" t="s">
        <v>488</v>
      </c>
      <c r="I37" s="385" t="s">
        <v>489</v>
      </c>
      <c r="J37" s="426">
        <v>0.75277777777777777</v>
      </c>
      <c r="Q37" s="409" t="s">
        <v>86</v>
      </c>
      <c r="R37" s="426">
        <v>0.47083333333333333</v>
      </c>
      <c r="S37" s="408">
        <v>45902</v>
      </c>
      <c r="T37" s="385">
        <v>93</v>
      </c>
      <c r="U37" s="385">
        <v>853</v>
      </c>
      <c r="V37" s="456">
        <f t="shared" si="39"/>
        <v>19</v>
      </c>
      <c r="W37" s="385">
        <v>11424</v>
      </c>
      <c r="X37" s="385" t="s">
        <v>117</v>
      </c>
      <c r="Y37" s="385" t="s">
        <v>566</v>
      </c>
      <c r="Z37" s="385"/>
      <c r="AB37" s="355"/>
      <c r="AC37" s="355"/>
      <c r="AD37" s="355"/>
      <c r="AE37" s="355"/>
      <c r="AF37" s="355"/>
      <c r="AG37" s="355"/>
      <c r="AH37" s="355"/>
      <c r="AI37" s="355"/>
      <c r="AJ37" s="355"/>
      <c r="AK37" s="355"/>
      <c r="AX37" s="442" t="s">
        <v>339</v>
      </c>
      <c r="AY37" s="491">
        <v>0.45624999999999999</v>
      </c>
      <c r="AZ37" s="513">
        <v>46088</v>
      </c>
      <c r="BA37" s="693">
        <v>314</v>
      </c>
      <c r="BB37" s="584">
        <v>3990</v>
      </c>
      <c r="BC37" s="427">
        <f t="shared" si="1"/>
        <v>28</v>
      </c>
      <c r="BD37" s="469">
        <v>11342</v>
      </c>
      <c r="BE37" s="469" t="s">
        <v>46</v>
      </c>
      <c r="BF37" s="469" t="s">
        <v>510</v>
      </c>
      <c r="BG37" s="517"/>
      <c r="BH37" s="355"/>
      <c r="BI37" s="355"/>
      <c r="BK37" s="385"/>
      <c r="BL37" s="426">
        <v>0.41875000000000001</v>
      </c>
      <c r="BM37" s="408">
        <v>45136</v>
      </c>
      <c r="BN37" s="385">
        <v>52</v>
      </c>
      <c r="BO37" s="385">
        <v>8315</v>
      </c>
      <c r="BP37" s="407">
        <f t="shared" si="9"/>
        <v>0.6</v>
      </c>
      <c r="BQ37" s="440">
        <v>6461</v>
      </c>
      <c r="BR37" s="385"/>
      <c r="BS37" s="385"/>
      <c r="BT37" s="385"/>
      <c r="BU37" s="355"/>
      <c r="BV37" s="694"/>
      <c r="BW37" s="695">
        <v>0.375</v>
      </c>
      <c r="BX37" s="696">
        <v>45133</v>
      </c>
      <c r="BY37" s="697">
        <v>120</v>
      </c>
      <c r="BZ37" s="698">
        <v>9146.4</v>
      </c>
      <c r="CA37" s="699">
        <f t="shared" si="10"/>
        <v>0.26935483870967447</v>
      </c>
      <c r="CB37" s="698">
        <v>3384</v>
      </c>
      <c r="CC37" s="385"/>
      <c r="CD37" s="385"/>
      <c r="CH37" s="451">
        <v>0.4916666666666667</v>
      </c>
      <c r="CI37" s="421">
        <v>45315</v>
      </c>
      <c r="CJ37" s="452">
        <v>88</v>
      </c>
      <c r="CK37" s="452">
        <v>710</v>
      </c>
      <c r="CL37" s="527">
        <f t="shared" si="17"/>
        <v>5.6179775280898875E-2</v>
      </c>
      <c r="CM37" s="476">
        <v>781</v>
      </c>
      <c r="CN37" s="452"/>
      <c r="CO37" s="452"/>
      <c r="CR37" s="399" t="s">
        <v>310</v>
      </c>
      <c r="CS37" s="426">
        <v>0.37708333333333333</v>
      </c>
      <c r="CT37" s="408">
        <v>45488</v>
      </c>
      <c r="CU37" s="385">
        <v>63</v>
      </c>
      <c r="CV37" s="385">
        <v>6150</v>
      </c>
      <c r="CW37" s="429">
        <f t="shared" si="31"/>
        <v>2.6041666666666668E-2</v>
      </c>
      <c r="CX37" s="385">
        <v>7837</v>
      </c>
      <c r="CY37" s="385" t="s">
        <v>388</v>
      </c>
      <c r="CZ37" s="385" t="s">
        <v>568</v>
      </c>
      <c r="DC37" s="409" t="s">
        <v>115</v>
      </c>
      <c r="DD37" s="426">
        <v>0.54166666666666663</v>
      </c>
      <c r="DE37" s="408">
        <v>45868</v>
      </c>
      <c r="DF37" s="385">
        <v>60</v>
      </c>
      <c r="DG37" s="385">
        <v>6434</v>
      </c>
      <c r="DH37" s="651">
        <f t="shared" si="33"/>
        <v>6434</v>
      </c>
      <c r="DI37" s="385">
        <v>9888</v>
      </c>
      <c r="DJ37" s="385" t="s">
        <v>578</v>
      </c>
      <c r="DK37" s="385" t="s">
        <v>124</v>
      </c>
      <c r="DL37" s="428" t="s">
        <v>574</v>
      </c>
      <c r="DO37" s="426">
        <v>0.47222222222222221</v>
      </c>
      <c r="DP37" s="408">
        <v>45530</v>
      </c>
      <c r="DQ37" s="385">
        <v>226</v>
      </c>
      <c r="DR37" s="385">
        <v>699</v>
      </c>
      <c r="DS37" s="402">
        <f t="shared" si="2"/>
        <v>0.03</v>
      </c>
      <c r="DT37" s="385">
        <v>6583</v>
      </c>
      <c r="DU37" s="402" t="s">
        <v>46</v>
      </c>
      <c r="DV37" s="385" t="s">
        <v>390</v>
      </c>
      <c r="DY37" s="674">
        <v>0.4513888888888889</v>
      </c>
      <c r="DZ37" s="675">
        <v>45780</v>
      </c>
      <c r="EA37" s="676">
        <v>280</v>
      </c>
      <c r="EB37" s="676">
        <v>977</v>
      </c>
      <c r="EC37" s="677">
        <f t="shared" si="3"/>
        <v>4.4611872146118721</v>
      </c>
      <c r="ED37" s="676">
        <v>9656</v>
      </c>
      <c r="EE37" s="676" t="s">
        <v>388</v>
      </c>
      <c r="EF37" s="676" t="s">
        <v>571</v>
      </c>
      <c r="EG37" s="519"/>
      <c r="EK37" s="426">
        <v>0.54652777777777772</v>
      </c>
      <c r="EL37" s="408">
        <v>46080</v>
      </c>
      <c r="EM37" s="388">
        <v>90</v>
      </c>
      <c r="EN37" s="385">
        <v>1523</v>
      </c>
      <c r="EO37" s="427">
        <f>EN37-EN36</f>
        <v>22</v>
      </c>
      <c r="EP37" s="385">
        <v>13329</v>
      </c>
      <c r="EQ37" s="385" t="s">
        <v>351</v>
      </c>
      <c r="ER37" s="385" t="s">
        <v>304</v>
      </c>
      <c r="ES37" s="385"/>
      <c r="EW37" s="385"/>
      <c r="EX37" s="426">
        <v>0.59166666666666667</v>
      </c>
      <c r="EY37" s="387">
        <v>45211</v>
      </c>
      <c r="EZ37" s="388">
        <v>137</v>
      </c>
      <c r="FA37" s="385"/>
      <c r="FB37" s="407"/>
      <c r="FC37" s="385">
        <v>4321</v>
      </c>
      <c r="FD37" s="385"/>
      <c r="FE37" s="385"/>
      <c r="FG37" s="409" t="s">
        <v>289</v>
      </c>
      <c r="FH37" s="426">
        <v>0.41666666666666669</v>
      </c>
      <c r="FI37" s="408">
        <v>45965</v>
      </c>
      <c r="FJ37" s="385">
        <v>91</v>
      </c>
      <c r="FK37" s="539">
        <v>699</v>
      </c>
      <c r="FL37" s="511">
        <f t="shared" si="32"/>
        <v>17</v>
      </c>
      <c r="FM37" s="385">
        <v>11010</v>
      </c>
      <c r="FN37" s="385" t="s">
        <v>117</v>
      </c>
      <c r="FO37" s="385" t="s">
        <v>408</v>
      </c>
      <c r="FP37" s="564" t="s">
        <v>580</v>
      </c>
      <c r="FR37" s="509" t="s">
        <v>288</v>
      </c>
      <c r="FS37" s="426">
        <v>0.58750000000000002</v>
      </c>
      <c r="FT37" s="408">
        <v>45474</v>
      </c>
      <c r="FU37" s="385">
        <v>76</v>
      </c>
      <c r="FV37" s="385"/>
      <c r="FW37" s="630">
        <f t="shared" si="37"/>
        <v>-45.648148148148145</v>
      </c>
      <c r="FX37" s="385">
        <v>4036</v>
      </c>
      <c r="FY37" s="591" t="s">
        <v>323</v>
      </c>
      <c r="FZ37" s="385" t="s">
        <v>351</v>
      </c>
      <c r="GM37" s="419" t="s">
        <v>542</v>
      </c>
      <c r="GN37" s="426">
        <v>0.49375000000000002</v>
      </c>
      <c r="GO37" s="408">
        <v>45888</v>
      </c>
      <c r="GP37" s="385">
        <v>36</v>
      </c>
      <c r="GQ37" s="440">
        <v>5234</v>
      </c>
      <c r="GR37" s="662">
        <f t="shared" si="34"/>
        <v>13</v>
      </c>
      <c r="GS37" s="385">
        <v>10391</v>
      </c>
      <c r="GT37" s="385"/>
      <c r="GU37" s="385" t="s">
        <v>551</v>
      </c>
      <c r="GX37" s="419" t="s">
        <v>290</v>
      </c>
      <c r="GY37" s="426">
        <v>0.35416666666666669</v>
      </c>
      <c r="GZ37" s="408">
        <v>46006</v>
      </c>
      <c r="HA37" s="385">
        <v>48</v>
      </c>
      <c r="HB37" s="471">
        <v>3398</v>
      </c>
      <c r="HC37" s="385">
        <f t="shared" si="29"/>
        <v>0</v>
      </c>
      <c r="HD37" s="385">
        <v>11104</v>
      </c>
      <c r="HE37" s="385" t="s">
        <v>555</v>
      </c>
      <c r="HF37" s="385" t="s">
        <v>388</v>
      </c>
      <c r="HU37" s="426"/>
      <c r="HV37" s="408">
        <v>45996</v>
      </c>
      <c r="HW37" s="385">
        <v>10</v>
      </c>
      <c r="HX37" s="471">
        <v>1308</v>
      </c>
      <c r="HY37" s="385">
        <f t="shared" si="35"/>
        <v>2</v>
      </c>
      <c r="HZ37" s="385">
        <v>11296</v>
      </c>
      <c r="IA37" s="385"/>
      <c r="IB37" s="385" t="s">
        <v>570</v>
      </c>
      <c r="KW37" s="385"/>
      <c r="KX37" s="408"/>
      <c r="KY37" s="385"/>
      <c r="KZ37" s="385"/>
      <c r="LA37" s="407" t="e">
        <f t="shared" si="38"/>
        <v>#DIV/0!</v>
      </c>
      <c r="LB37" s="385"/>
      <c r="LD37" s="385"/>
      <c r="LE37" s="421"/>
      <c r="LF37" s="452"/>
      <c r="LG37" s="452"/>
      <c r="LH37" s="402" t="e">
        <f t="shared" si="36"/>
        <v>#DIV/0!</v>
      </c>
      <c r="LI37" s="453"/>
    </row>
    <row r="38" spans="2:321" ht="15.75" customHeight="1" x14ac:dyDescent="0.25">
      <c r="B38" s="467" t="s">
        <v>458</v>
      </c>
      <c r="C38" s="467"/>
      <c r="D38" s="421">
        <v>46044</v>
      </c>
      <c r="E38" s="452">
        <v>49</v>
      </c>
      <c r="F38" s="452">
        <v>18830</v>
      </c>
      <c r="G38" s="452">
        <v>10644</v>
      </c>
      <c r="H38" s="452" t="s">
        <v>304</v>
      </c>
      <c r="R38" s="451">
        <v>0.56388888888888888</v>
      </c>
      <c r="S38" s="421">
        <v>45905</v>
      </c>
      <c r="T38" s="452">
        <v>74</v>
      </c>
      <c r="U38" s="452">
        <v>873</v>
      </c>
      <c r="V38" s="456">
        <f t="shared" si="39"/>
        <v>20</v>
      </c>
      <c r="W38" s="452">
        <v>10802</v>
      </c>
      <c r="X38" s="452" t="s">
        <v>117</v>
      </c>
      <c r="Y38" s="452" t="s">
        <v>566</v>
      </c>
      <c r="Z38" s="452"/>
      <c r="AB38" s="355"/>
      <c r="AC38" s="355"/>
      <c r="AD38" s="355"/>
      <c r="AE38" s="355"/>
      <c r="AF38" s="355"/>
      <c r="AG38" s="355"/>
      <c r="AH38" s="355"/>
      <c r="AI38" s="355"/>
      <c r="AJ38" s="355"/>
      <c r="AK38" s="355"/>
      <c r="AY38" s="491"/>
      <c r="AZ38" s="513"/>
      <c r="BA38" s="693"/>
      <c r="BB38" s="584"/>
      <c r="BC38" s="584">
        <f t="shared" si="1"/>
        <v>-3990</v>
      </c>
      <c r="BD38" s="469"/>
      <c r="BE38" s="469" t="s">
        <v>46</v>
      </c>
      <c r="BF38" s="469" t="s">
        <v>510</v>
      </c>
      <c r="BG38" s="517"/>
      <c r="BH38" s="355"/>
      <c r="BI38" s="355"/>
      <c r="BK38" s="385"/>
      <c r="BL38" s="426">
        <v>0.36805555555555558</v>
      </c>
      <c r="BM38" s="408">
        <v>45139</v>
      </c>
      <c r="BN38" s="385">
        <v>76</v>
      </c>
      <c r="BO38" s="385">
        <v>8329</v>
      </c>
      <c r="BP38" s="407">
        <f t="shared" si="9"/>
        <v>0.26923076923076922</v>
      </c>
      <c r="BQ38" s="440">
        <v>6477</v>
      </c>
      <c r="BR38" s="385"/>
      <c r="BS38" s="385"/>
      <c r="BT38" s="385"/>
      <c r="BU38" s="355"/>
      <c r="BV38" s="440"/>
      <c r="BW38" s="426">
        <v>0.60763888888888895</v>
      </c>
      <c r="BX38" s="408">
        <v>45135</v>
      </c>
      <c r="BY38" s="385">
        <v>75</v>
      </c>
      <c r="BZ38" s="385">
        <v>9166.2999999999993</v>
      </c>
      <c r="CA38" s="648">
        <f t="shared" si="10"/>
        <v>0.16583333333333031</v>
      </c>
      <c r="CB38" s="385">
        <v>6452</v>
      </c>
      <c r="CC38" s="385"/>
      <c r="CD38" s="385"/>
      <c r="CG38" s="442" t="s">
        <v>307</v>
      </c>
      <c r="CH38" s="452"/>
      <c r="CI38" s="421">
        <v>45318</v>
      </c>
      <c r="CJ38" s="452">
        <v>175</v>
      </c>
      <c r="CK38" s="452">
        <v>731</v>
      </c>
      <c r="CL38" s="527">
        <f t="shared" si="17"/>
        <v>0.23863636363636365</v>
      </c>
      <c r="CM38" s="476">
        <v>7921</v>
      </c>
      <c r="CN38" s="452"/>
      <c r="CO38" s="452"/>
      <c r="CS38" s="451"/>
      <c r="CT38" s="421">
        <v>45491</v>
      </c>
      <c r="CU38" s="452">
        <v>114</v>
      </c>
      <c r="CV38" s="452">
        <v>6162</v>
      </c>
      <c r="CW38" s="429">
        <f t="shared" si="31"/>
        <v>0.19047619047619047</v>
      </c>
      <c r="CX38" s="452">
        <v>8652</v>
      </c>
      <c r="CY38" s="452" t="s">
        <v>388</v>
      </c>
      <c r="CZ38" s="385" t="s">
        <v>568</v>
      </c>
      <c r="DC38" s="409" t="s">
        <v>115</v>
      </c>
      <c r="DD38" s="426">
        <v>0.50972222222222219</v>
      </c>
      <c r="DE38" s="408">
        <v>45882</v>
      </c>
      <c r="DF38" s="385">
        <v>34</v>
      </c>
      <c r="DG38" s="385">
        <v>6404</v>
      </c>
      <c r="DH38" s="651">
        <v>10</v>
      </c>
      <c r="DI38" s="385">
        <v>10367</v>
      </c>
      <c r="DJ38" s="385" t="s">
        <v>80</v>
      </c>
      <c r="DK38" s="385" t="s">
        <v>581</v>
      </c>
      <c r="DO38" s="426">
        <v>0.55902777777777779</v>
      </c>
      <c r="DP38" s="408">
        <v>45532</v>
      </c>
      <c r="DQ38" s="385">
        <v>335</v>
      </c>
      <c r="DR38" s="385">
        <v>718</v>
      </c>
      <c r="DS38" s="402">
        <f t="shared" si="2"/>
        <v>8.4070796460176997E-2</v>
      </c>
      <c r="DT38" s="385">
        <v>9002</v>
      </c>
      <c r="DU38" s="402" t="s">
        <v>46</v>
      </c>
      <c r="DV38" s="385" t="s">
        <v>390</v>
      </c>
      <c r="DY38" s="674"/>
      <c r="DZ38" s="675">
        <v>45784</v>
      </c>
      <c r="EA38" s="676">
        <v>260</v>
      </c>
      <c r="EB38" s="676">
        <v>997</v>
      </c>
      <c r="EC38" s="677">
        <f t="shared" si="3"/>
        <v>7.1428571428571425E-2</v>
      </c>
      <c r="ED38" s="676">
        <v>9690</v>
      </c>
      <c r="EE38" s="676" t="s">
        <v>388</v>
      </c>
      <c r="EF38" s="676" t="s">
        <v>582</v>
      </c>
      <c r="EG38" s="519"/>
      <c r="EJ38" s="409" t="s">
        <v>376</v>
      </c>
      <c r="EK38" s="491">
        <v>0.52361111111111114</v>
      </c>
      <c r="EL38" s="513">
        <v>46084</v>
      </c>
      <c r="EM38" s="493">
        <v>84</v>
      </c>
      <c r="EN38" s="469">
        <v>1544</v>
      </c>
      <c r="EO38" s="584">
        <f>EN38-EN37</f>
        <v>21</v>
      </c>
      <c r="EP38" s="469">
        <v>11313</v>
      </c>
      <c r="EQ38" s="469" t="s">
        <v>351</v>
      </c>
      <c r="ER38" s="469" t="s">
        <v>304</v>
      </c>
      <c r="ES38" s="469"/>
      <c r="EW38" s="687" t="s">
        <v>63</v>
      </c>
      <c r="EX38" s="426">
        <v>0.90833333333333333</v>
      </c>
      <c r="EY38" s="387">
        <v>45216</v>
      </c>
      <c r="EZ38" s="388">
        <v>185</v>
      </c>
      <c r="FA38" s="385"/>
      <c r="FB38" s="407"/>
      <c r="FC38" s="385">
        <v>4367</v>
      </c>
      <c r="FD38" s="385"/>
      <c r="FE38" s="385"/>
      <c r="FH38" s="426">
        <v>0.31944444444444442</v>
      </c>
      <c r="FI38" s="408">
        <v>45966</v>
      </c>
      <c r="FJ38" s="385">
        <v>66</v>
      </c>
      <c r="FK38" s="539">
        <v>708</v>
      </c>
      <c r="FL38" s="511">
        <f t="shared" si="32"/>
        <v>9</v>
      </c>
      <c r="FM38" s="385"/>
      <c r="FN38" s="385" t="s">
        <v>117</v>
      </c>
      <c r="FO38" s="385" t="s">
        <v>408</v>
      </c>
      <c r="FR38" s="509" t="s">
        <v>288</v>
      </c>
      <c r="FS38" s="451">
        <v>0.48958333333333331</v>
      </c>
      <c r="FT38" s="421">
        <v>45505</v>
      </c>
      <c r="FU38" s="452">
        <v>34</v>
      </c>
      <c r="FV38" s="452">
        <v>2593</v>
      </c>
      <c r="FW38" s="644">
        <f t="shared" si="37"/>
        <v>3.65625</v>
      </c>
      <c r="FX38" s="452">
        <v>6016</v>
      </c>
      <c r="FY38" s="469" t="s">
        <v>149</v>
      </c>
      <c r="FZ38" s="452" t="s">
        <v>351</v>
      </c>
      <c r="GM38" s="419" t="s">
        <v>542</v>
      </c>
      <c r="GN38" s="426">
        <v>0.68680555555555556</v>
      </c>
      <c r="GO38" s="408">
        <v>45897</v>
      </c>
      <c r="GP38" s="385">
        <v>21</v>
      </c>
      <c r="GQ38" s="440">
        <v>5245</v>
      </c>
      <c r="GR38" s="662">
        <f t="shared" si="34"/>
        <v>11</v>
      </c>
      <c r="GS38" s="385">
        <v>11401</v>
      </c>
      <c r="GT38" s="385"/>
      <c r="GU38" s="385" t="s">
        <v>551</v>
      </c>
      <c r="GX38" s="419" t="s">
        <v>290</v>
      </c>
      <c r="GY38" s="700">
        <v>0.45</v>
      </c>
      <c r="GZ38" s="701">
        <v>46014</v>
      </c>
      <c r="HA38" s="539">
        <v>54</v>
      </c>
      <c r="HB38" s="539">
        <v>3424</v>
      </c>
      <c r="HC38" s="539">
        <f t="shared" si="29"/>
        <v>26</v>
      </c>
      <c r="HD38" s="539">
        <v>11150</v>
      </c>
      <c r="HE38" s="539" t="s">
        <v>555</v>
      </c>
      <c r="HF38" s="539" t="s">
        <v>388</v>
      </c>
      <c r="HT38" s="419" t="s">
        <v>324</v>
      </c>
      <c r="HU38" s="426">
        <v>0.80625000000000002</v>
      </c>
      <c r="HV38" s="408">
        <v>46009</v>
      </c>
      <c r="HW38" s="385">
        <v>22</v>
      </c>
      <c r="HX38" s="471">
        <v>1308</v>
      </c>
      <c r="HY38" s="385">
        <f t="shared" si="35"/>
        <v>0</v>
      </c>
      <c r="HZ38" s="385">
        <v>11129</v>
      </c>
      <c r="IA38" s="385"/>
      <c r="IB38" s="385" t="s">
        <v>570</v>
      </c>
      <c r="KW38" s="385"/>
      <c r="KX38" s="421"/>
      <c r="KY38" s="452"/>
      <c r="KZ38" s="452"/>
      <c r="LA38" s="402" t="e">
        <f t="shared" si="38"/>
        <v>#DIV/0!</v>
      </c>
      <c r="LB38" s="573"/>
      <c r="LD38" s="385"/>
      <c r="LE38" s="408"/>
      <c r="LF38" s="385"/>
      <c r="LG38" s="385"/>
      <c r="LH38" s="407" t="e">
        <f t="shared" si="36"/>
        <v>#DIV/0!</v>
      </c>
    </row>
    <row r="39" spans="2:321" ht="15.75" customHeight="1" x14ac:dyDescent="0.25">
      <c r="B39" s="467" t="s">
        <v>369</v>
      </c>
      <c r="C39" s="467"/>
      <c r="D39" s="421">
        <v>46048</v>
      </c>
      <c r="E39" s="452">
        <v>85</v>
      </c>
      <c r="F39" s="452"/>
      <c r="G39" s="452">
        <v>10668</v>
      </c>
      <c r="H39" s="452" t="s">
        <v>583</v>
      </c>
      <c r="I39" s="354"/>
      <c r="Q39" s="409" t="s">
        <v>86</v>
      </c>
      <c r="R39" s="426">
        <v>0.24652777777777779</v>
      </c>
      <c r="S39" s="408">
        <v>45910</v>
      </c>
      <c r="T39" s="385">
        <v>99</v>
      </c>
      <c r="U39" s="385">
        <v>894</v>
      </c>
      <c r="V39" s="456">
        <f t="shared" si="39"/>
        <v>21</v>
      </c>
      <c r="W39" s="385">
        <v>10822</v>
      </c>
      <c r="X39" s="385" t="s">
        <v>117</v>
      </c>
      <c r="Y39" s="385" t="s">
        <v>566</v>
      </c>
      <c r="Z39" s="385"/>
      <c r="AB39" s="355"/>
      <c r="AC39" s="355"/>
      <c r="AD39" s="355"/>
      <c r="AE39" s="355"/>
      <c r="AF39" s="355"/>
      <c r="AG39" s="355"/>
      <c r="AH39" s="355"/>
      <c r="AI39" s="355"/>
      <c r="AJ39" s="355"/>
      <c r="AK39" s="355"/>
      <c r="BH39" s="355"/>
      <c r="BI39" s="355"/>
      <c r="BK39" s="385"/>
      <c r="BL39" s="426">
        <v>0.61458333333333337</v>
      </c>
      <c r="BM39" s="408">
        <v>45142</v>
      </c>
      <c r="BN39" s="385">
        <v>100</v>
      </c>
      <c r="BO39" s="385">
        <v>8346</v>
      </c>
      <c r="BP39" s="407">
        <f t="shared" si="9"/>
        <v>0.22368421052631579</v>
      </c>
      <c r="BQ39" s="440">
        <v>6505</v>
      </c>
      <c r="BR39" s="385"/>
      <c r="BS39" s="385"/>
      <c r="BT39" s="385"/>
      <c r="BU39" s="355"/>
      <c r="BV39" s="440"/>
      <c r="BW39" s="426">
        <v>0.46458333333333335</v>
      </c>
      <c r="BX39" s="408">
        <v>45142</v>
      </c>
      <c r="BY39" s="385">
        <v>53</v>
      </c>
      <c r="BZ39" s="385">
        <v>9195.5</v>
      </c>
      <c r="CA39" s="648">
        <f t="shared" si="10"/>
        <v>0.38933333333334302</v>
      </c>
      <c r="CB39" s="385"/>
      <c r="CC39" s="385"/>
      <c r="CD39" s="385"/>
      <c r="CG39" s="442" t="s">
        <v>307</v>
      </c>
      <c r="CH39" s="426">
        <v>0.50624999999999998</v>
      </c>
      <c r="CI39" s="408">
        <v>45325</v>
      </c>
      <c r="CJ39" s="385">
        <v>183</v>
      </c>
      <c r="CK39" s="385">
        <v>774</v>
      </c>
      <c r="CL39" s="527">
        <f t="shared" si="17"/>
        <v>0.24571428571428572</v>
      </c>
      <c r="CM39" s="440">
        <v>7985</v>
      </c>
      <c r="CN39" s="385"/>
      <c r="CO39" s="448"/>
      <c r="CR39" s="399" t="s">
        <v>310</v>
      </c>
      <c r="CS39" s="426">
        <v>0.57777777777777772</v>
      </c>
      <c r="CT39" s="408">
        <v>45496</v>
      </c>
      <c r="CU39" s="385">
        <v>83</v>
      </c>
      <c r="CV39" s="385">
        <v>6168</v>
      </c>
      <c r="CW39" s="429">
        <f t="shared" si="31"/>
        <v>5.2631578947368418E-2</v>
      </c>
      <c r="CX39" s="385">
        <v>7837</v>
      </c>
      <c r="CY39" s="385" t="s">
        <v>388</v>
      </c>
      <c r="CZ39" s="385" t="s">
        <v>417</v>
      </c>
      <c r="DD39" s="426">
        <v>0.64861111111111114</v>
      </c>
      <c r="DE39" s="408">
        <v>45884</v>
      </c>
      <c r="DF39" s="385">
        <v>34</v>
      </c>
      <c r="DG39" s="385">
        <v>6420</v>
      </c>
      <c r="DH39" s="651">
        <f t="shared" ref="DH39:DH55" si="40">DG39-DG38</f>
        <v>16</v>
      </c>
      <c r="DI39" s="385">
        <v>10377</v>
      </c>
      <c r="DJ39" s="385" t="s">
        <v>80</v>
      </c>
      <c r="DK39" s="385" t="s">
        <v>581</v>
      </c>
      <c r="DO39" s="451">
        <v>0.34583333333333333</v>
      </c>
      <c r="DP39" s="421">
        <v>45534</v>
      </c>
      <c r="DQ39" s="452">
        <v>181</v>
      </c>
      <c r="DR39" s="452">
        <v>728</v>
      </c>
      <c r="DS39" s="402">
        <f t="shared" si="2"/>
        <v>2.9850746268656716E-2</v>
      </c>
      <c r="DT39" s="452">
        <v>9021</v>
      </c>
      <c r="DU39" s="402" t="s">
        <v>46</v>
      </c>
      <c r="DV39" s="452" t="s">
        <v>390</v>
      </c>
      <c r="DX39" s="442" t="s">
        <v>286</v>
      </c>
      <c r="DY39" s="674">
        <v>0.41666666666666669</v>
      </c>
      <c r="DZ39" s="675">
        <v>45789</v>
      </c>
      <c r="EA39" s="676">
        <v>309</v>
      </c>
      <c r="EB39" s="676">
        <v>1018</v>
      </c>
      <c r="EC39" s="677">
        <f t="shared" si="3"/>
        <v>8.0769230769230774E-2</v>
      </c>
      <c r="ED39" s="676">
        <v>9796</v>
      </c>
      <c r="EE39" s="676" t="s">
        <v>388</v>
      </c>
      <c r="EF39" s="676" t="s">
        <v>582</v>
      </c>
      <c r="EG39" s="519"/>
      <c r="EW39" s="419" t="s">
        <v>63</v>
      </c>
      <c r="EX39" s="385"/>
      <c r="EY39" s="408">
        <v>45224</v>
      </c>
      <c r="EZ39" s="385">
        <v>187</v>
      </c>
      <c r="FA39" s="385"/>
      <c r="FB39" s="385"/>
      <c r="FC39" s="385">
        <v>6801</v>
      </c>
      <c r="FD39" s="385"/>
      <c r="FE39" s="385"/>
      <c r="FG39" s="409" t="s">
        <v>289</v>
      </c>
      <c r="FH39" s="426">
        <v>0.60902777777777772</v>
      </c>
      <c r="FI39" s="408">
        <v>45972</v>
      </c>
      <c r="FJ39" s="385">
        <v>90</v>
      </c>
      <c r="FK39" s="702">
        <v>725</v>
      </c>
      <c r="FL39" s="511">
        <f t="shared" si="32"/>
        <v>17</v>
      </c>
      <c r="FM39" s="385">
        <v>11162</v>
      </c>
      <c r="FN39" s="385" t="s">
        <v>117</v>
      </c>
      <c r="FO39" s="385" t="s">
        <v>408</v>
      </c>
      <c r="FP39" s="448" t="s">
        <v>580</v>
      </c>
      <c r="FR39" s="509" t="s">
        <v>288</v>
      </c>
      <c r="FS39" s="426">
        <v>0.50347222222222221</v>
      </c>
      <c r="FT39" s="408">
        <v>45509</v>
      </c>
      <c r="FU39" s="385">
        <v>69</v>
      </c>
      <c r="FV39" s="385">
        <v>2610</v>
      </c>
      <c r="FW39" s="630">
        <f t="shared" si="37"/>
        <v>34.342105263157897</v>
      </c>
      <c r="FX39" s="385">
        <v>8964</v>
      </c>
      <c r="FY39" s="385" t="s">
        <v>584</v>
      </c>
      <c r="FZ39" s="385" t="s">
        <v>351</v>
      </c>
      <c r="GM39" s="419" t="s">
        <v>542</v>
      </c>
      <c r="GN39" s="426">
        <v>0.43611111111111112</v>
      </c>
      <c r="GO39" s="408">
        <v>45902</v>
      </c>
      <c r="GP39" s="385">
        <v>37</v>
      </c>
      <c r="GQ39" s="385">
        <v>5262</v>
      </c>
      <c r="GR39" s="662">
        <f t="shared" si="34"/>
        <v>17</v>
      </c>
      <c r="GS39" s="385">
        <v>11423</v>
      </c>
      <c r="GT39" s="385"/>
      <c r="GU39" s="385" t="s">
        <v>551</v>
      </c>
      <c r="GX39" s="419" t="s">
        <v>290</v>
      </c>
      <c r="GY39" s="700">
        <v>0.84166666666666667</v>
      </c>
      <c r="GZ39" s="701">
        <v>46028</v>
      </c>
      <c r="HA39" s="539">
        <v>52</v>
      </c>
      <c r="HB39" s="471">
        <v>3424</v>
      </c>
      <c r="HC39" s="539">
        <f t="shared" si="29"/>
        <v>0</v>
      </c>
      <c r="HD39" s="539">
        <v>9992</v>
      </c>
      <c r="HE39" s="539" t="s">
        <v>555</v>
      </c>
      <c r="HF39" s="539" t="s">
        <v>388</v>
      </c>
      <c r="HT39" s="419" t="s">
        <v>324</v>
      </c>
      <c r="HU39" s="426"/>
      <c r="HV39" s="408">
        <v>46032</v>
      </c>
      <c r="HW39" s="385">
        <v>8</v>
      </c>
      <c r="HX39" s="471">
        <v>1308</v>
      </c>
      <c r="HY39" s="385">
        <f t="shared" si="35"/>
        <v>0</v>
      </c>
      <c r="HZ39" s="385">
        <v>10418</v>
      </c>
      <c r="IA39" s="385"/>
      <c r="IB39" s="385" t="s">
        <v>149</v>
      </c>
      <c r="IC39" s="703" t="s">
        <v>585</v>
      </c>
      <c r="KW39" s="385"/>
      <c r="KX39" s="421"/>
      <c r="KY39" s="452"/>
      <c r="KZ39" s="452"/>
      <c r="LA39" s="402" t="e">
        <f t="shared" si="38"/>
        <v>#DIV/0!</v>
      </c>
      <c r="LB39" s="453"/>
      <c r="LD39" s="385"/>
      <c r="LE39" s="408"/>
      <c r="LF39" s="385"/>
      <c r="LG39" s="385"/>
      <c r="LH39" s="407" t="e">
        <f t="shared" si="36"/>
        <v>#DIV/0!</v>
      </c>
    </row>
    <row r="40" spans="2:321" ht="15.75" customHeight="1" thickBot="1" x14ac:dyDescent="0.3">
      <c r="B40" s="467" t="s">
        <v>369</v>
      </c>
      <c r="C40" s="467"/>
      <c r="D40" s="421">
        <v>46050</v>
      </c>
      <c r="E40" s="452">
        <v>15</v>
      </c>
      <c r="F40" s="452"/>
      <c r="G40" s="452">
        <v>10680</v>
      </c>
      <c r="H40" s="452" t="s">
        <v>586</v>
      </c>
      <c r="I40" s="354"/>
      <c r="Q40" s="409" t="s">
        <v>86</v>
      </c>
      <c r="R40" s="426">
        <v>0.5625</v>
      </c>
      <c r="S40" s="408">
        <v>45917</v>
      </c>
      <c r="T40" s="385">
        <v>28</v>
      </c>
      <c r="U40" s="385">
        <v>913</v>
      </c>
      <c r="V40" s="456">
        <f t="shared" si="39"/>
        <v>19</v>
      </c>
      <c r="W40" s="385">
        <v>10848</v>
      </c>
      <c r="X40" s="385" t="s">
        <v>117</v>
      </c>
      <c r="Y40" s="385" t="s">
        <v>566</v>
      </c>
      <c r="Z40" s="385" t="s">
        <v>587</v>
      </c>
      <c r="AB40" s="355"/>
      <c r="AC40" s="355"/>
      <c r="AD40" s="355"/>
      <c r="AE40" s="355"/>
      <c r="AF40" s="355"/>
      <c r="AG40" s="355"/>
      <c r="AH40" s="355"/>
      <c r="AI40" s="355"/>
      <c r="AJ40" s="355"/>
      <c r="AK40" s="355"/>
      <c r="BH40" s="355"/>
      <c r="BI40" s="355"/>
      <c r="BK40" s="385"/>
      <c r="BL40" s="385"/>
      <c r="BM40" s="408">
        <v>45149</v>
      </c>
      <c r="BN40" s="385">
        <v>89</v>
      </c>
      <c r="BO40" s="385">
        <v>8366</v>
      </c>
      <c r="BP40" s="407">
        <f t="shared" si="9"/>
        <v>0.2</v>
      </c>
      <c r="BQ40" s="440">
        <v>6557</v>
      </c>
      <c r="BR40" s="385"/>
      <c r="BS40" s="385"/>
      <c r="BT40" s="385"/>
      <c r="BU40" s="355"/>
      <c r="BW40" s="551">
        <v>0.68680555555555556</v>
      </c>
      <c r="BX40" s="552">
        <v>45153</v>
      </c>
      <c r="BY40" s="393">
        <v>126</v>
      </c>
      <c r="BZ40" s="393"/>
      <c r="CA40" s="648">
        <f t="shared" si="10"/>
        <v>-173.5</v>
      </c>
      <c r="CB40" s="385"/>
      <c r="CC40" s="385"/>
      <c r="CD40" s="385"/>
      <c r="CG40" s="442" t="s">
        <v>307</v>
      </c>
      <c r="CH40" s="451">
        <v>0.50902777777777775</v>
      </c>
      <c r="CI40" s="421">
        <v>45336</v>
      </c>
      <c r="CJ40" s="452">
        <v>130</v>
      </c>
      <c r="CK40" s="452">
        <v>792</v>
      </c>
      <c r="CL40" s="527">
        <f t="shared" si="17"/>
        <v>9.8360655737704916E-2</v>
      </c>
      <c r="CM40" s="476">
        <v>8122</v>
      </c>
      <c r="CN40" s="452"/>
      <c r="CO40" s="452"/>
      <c r="CS40" s="426"/>
      <c r="CT40" s="408">
        <v>45499</v>
      </c>
      <c r="CU40" s="385">
        <v>116</v>
      </c>
      <c r="CV40" s="385">
        <v>6180</v>
      </c>
      <c r="CW40" s="429">
        <f t="shared" si="31"/>
        <v>0.14457831325301204</v>
      </c>
      <c r="CX40" s="385">
        <v>8683</v>
      </c>
      <c r="CY40" s="385" t="s">
        <v>388</v>
      </c>
      <c r="CZ40" s="385" t="s">
        <v>417</v>
      </c>
      <c r="DC40" s="409" t="s">
        <v>115</v>
      </c>
      <c r="DD40" s="426">
        <v>0.47847222222222224</v>
      </c>
      <c r="DE40" s="408">
        <v>45891</v>
      </c>
      <c r="DF40" s="385">
        <v>33</v>
      </c>
      <c r="DG40" s="385">
        <v>6436</v>
      </c>
      <c r="DH40" s="651">
        <f t="shared" si="40"/>
        <v>16</v>
      </c>
      <c r="DI40" s="385">
        <v>10263</v>
      </c>
      <c r="DJ40" s="385" t="s">
        <v>392</v>
      </c>
      <c r="DK40" s="385" t="s">
        <v>581</v>
      </c>
      <c r="DN40" s="399" t="s">
        <v>285</v>
      </c>
      <c r="DO40" s="426">
        <v>0.7</v>
      </c>
      <c r="DP40" s="408">
        <v>45537</v>
      </c>
      <c r="DQ40" s="385">
        <v>354</v>
      </c>
      <c r="DR40" s="385">
        <v>747</v>
      </c>
      <c r="DS40" s="402">
        <f t="shared" si="2"/>
        <v>0.10497237569060773</v>
      </c>
      <c r="DT40" s="385">
        <v>9037</v>
      </c>
      <c r="DU40" s="402" t="s">
        <v>46</v>
      </c>
      <c r="DV40" s="385" t="s">
        <v>390</v>
      </c>
      <c r="DY40" s="674">
        <v>0.64722222222222225</v>
      </c>
      <c r="DZ40" s="675">
        <v>45792</v>
      </c>
      <c r="EA40" s="676">
        <v>117</v>
      </c>
      <c r="EB40" s="676"/>
      <c r="EC40" s="677">
        <f t="shared" si="3"/>
        <v>-3.2944983818770228</v>
      </c>
      <c r="ED40" s="676">
        <v>9335</v>
      </c>
      <c r="EE40" s="676" t="s">
        <v>388</v>
      </c>
      <c r="EF40" s="676" t="s">
        <v>582</v>
      </c>
      <c r="EG40" s="597" t="s">
        <v>325</v>
      </c>
      <c r="EW40" s="419" t="s">
        <v>63</v>
      </c>
      <c r="EX40" s="385">
        <v>938</v>
      </c>
      <c r="EY40" s="408">
        <v>45232</v>
      </c>
      <c r="EZ40" s="385">
        <v>54</v>
      </c>
      <c r="FA40" s="385"/>
      <c r="FB40" s="385"/>
      <c r="FC40" s="385">
        <v>4438</v>
      </c>
      <c r="FD40" s="385"/>
      <c r="FE40" s="385" t="s">
        <v>588</v>
      </c>
      <c r="FH40" s="426">
        <v>0.36319444444444443</v>
      </c>
      <c r="FI40" s="408">
        <v>45974</v>
      </c>
      <c r="FJ40" s="385">
        <v>88</v>
      </c>
      <c r="FK40" s="539">
        <v>745</v>
      </c>
      <c r="FL40" s="511">
        <f t="shared" si="32"/>
        <v>20</v>
      </c>
      <c r="FM40" s="385">
        <v>11176</v>
      </c>
      <c r="FN40" s="385" t="s">
        <v>117</v>
      </c>
      <c r="FO40" s="385" t="s">
        <v>408</v>
      </c>
      <c r="FP40" s="354"/>
      <c r="FS40" s="426">
        <v>0.44097222222222221</v>
      </c>
      <c r="FT40" s="408">
        <v>45511</v>
      </c>
      <c r="FU40" s="385">
        <v>49</v>
      </c>
      <c r="FV40" s="385">
        <v>2624</v>
      </c>
      <c r="FW40" s="630">
        <f t="shared" si="37"/>
        <v>0.91176470588235292</v>
      </c>
      <c r="FX40" s="385">
        <v>8817</v>
      </c>
      <c r="FY40" s="385" t="s">
        <v>584</v>
      </c>
      <c r="FZ40" s="385" t="s">
        <v>351</v>
      </c>
      <c r="GN40" s="451">
        <v>0.5395833333333333</v>
      </c>
      <c r="GO40" s="421">
        <v>45905</v>
      </c>
      <c r="GP40" s="452">
        <v>24</v>
      </c>
      <c r="GQ40" s="452">
        <v>5269</v>
      </c>
      <c r="GR40" s="662">
        <f t="shared" si="34"/>
        <v>7</v>
      </c>
      <c r="GS40" s="452">
        <v>10801</v>
      </c>
      <c r="GT40" s="452"/>
      <c r="GU40" s="452" t="s">
        <v>551</v>
      </c>
      <c r="GX40" s="419" t="s">
        <v>290</v>
      </c>
      <c r="GY40" s="700">
        <v>0.86458333333333337</v>
      </c>
      <c r="GZ40" s="701">
        <v>46036</v>
      </c>
      <c r="HA40" s="539">
        <v>59</v>
      </c>
      <c r="HB40" s="704">
        <v>3439</v>
      </c>
      <c r="HC40" s="539">
        <f t="shared" si="29"/>
        <v>15</v>
      </c>
      <c r="HD40" s="539">
        <v>9944</v>
      </c>
      <c r="HE40" s="539" t="s">
        <v>555</v>
      </c>
      <c r="HF40" s="539" t="s">
        <v>388</v>
      </c>
      <c r="HT40" s="419" t="s">
        <v>324</v>
      </c>
      <c r="HU40" s="426">
        <v>0.24236111111111111</v>
      </c>
      <c r="HV40" s="408">
        <v>46051</v>
      </c>
      <c r="HW40" s="385">
        <v>7</v>
      </c>
      <c r="HX40" s="471">
        <v>1308</v>
      </c>
      <c r="HY40" s="385">
        <f t="shared" si="35"/>
        <v>0</v>
      </c>
      <c r="HZ40" s="385">
        <v>10684</v>
      </c>
      <c r="IA40" s="385"/>
      <c r="IB40" s="385" t="s">
        <v>555</v>
      </c>
      <c r="KW40" s="385"/>
      <c r="KX40" s="408"/>
      <c r="KY40" s="385"/>
      <c r="KZ40" s="385"/>
      <c r="LA40" s="407" t="e">
        <f t="shared" si="38"/>
        <v>#DIV/0!</v>
      </c>
      <c r="LD40" s="385"/>
      <c r="LE40" s="408"/>
      <c r="LF40" s="385"/>
      <c r="LG40" s="385"/>
      <c r="LH40" s="407" t="e">
        <f t="shared" si="36"/>
        <v>#DIV/0!</v>
      </c>
    </row>
    <row r="41" spans="2:321" ht="15.75" customHeight="1" thickBot="1" x14ac:dyDescent="0.3">
      <c r="B41" s="467" t="s">
        <v>369</v>
      </c>
      <c r="C41" s="467"/>
      <c r="D41" s="421">
        <v>46056</v>
      </c>
      <c r="E41" s="452">
        <v>20</v>
      </c>
      <c r="F41" s="452"/>
      <c r="G41" s="452">
        <v>10410</v>
      </c>
      <c r="H41" s="452" t="s">
        <v>586</v>
      </c>
      <c r="Q41" s="409" t="s">
        <v>86</v>
      </c>
      <c r="R41" s="426">
        <v>0.29444444444444445</v>
      </c>
      <c r="S41" s="408">
        <v>45922</v>
      </c>
      <c r="T41" s="385">
        <v>68</v>
      </c>
      <c r="U41" s="385">
        <v>930</v>
      </c>
      <c r="V41" s="456">
        <f t="shared" si="39"/>
        <v>17</v>
      </c>
      <c r="W41" s="385">
        <v>10976</v>
      </c>
      <c r="X41" s="385" t="s">
        <v>117</v>
      </c>
      <c r="Y41" s="385" t="s">
        <v>566</v>
      </c>
      <c r="AB41" s="355"/>
      <c r="AC41" s="355"/>
      <c r="AD41" s="355"/>
      <c r="AE41" s="355"/>
      <c r="AF41" s="355"/>
      <c r="AG41" s="355"/>
      <c r="AH41" s="355"/>
      <c r="AI41" s="355"/>
      <c r="AJ41" s="355"/>
      <c r="AK41" s="355"/>
      <c r="AZ41" s="355"/>
      <c r="BA41" s="356"/>
      <c r="BB41" s="357"/>
      <c r="BC41" s="357"/>
      <c r="BD41" s="355"/>
      <c r="BE41" s="355"/>
      <c r="BF41" s="355"/>
      <c r="BG41" s="355"/>
      <c r="BH41" s="355"/>
      <c r="BI41" s="355"/>
      <c r="BK41" s="385"/>
      <c r="BL41" s="426">
        <v>0.70138888888888884</v>
      </c>
      <c r="BM41" s="408">
        <v>45154</v>
      </c>
      <c r="BN41" s="385">
        <v>49</v>
      </c>
      <c r="BO41" s="385">
        <v>8362.7000000000007</v>
      </c>
      <c r="BP41" s="407">
        <f t="shared" si="9"/>
        <v>-3.7078651685385086E-2</v>
      </c>
      <c r="BQ41" s="440">
        <v>6594</v>
      </c>
      <c r="BR41" s="385"/>
      <c r="BS41" s="385"/>
      <c r="BT41" s="705" t="s">
        <v>589</v>
      </c>
      <c r="BU41" s="355"/>
      <c r="BV41" s="706" t="s">
        <v>306</v>
      </c>
      <c r="BW41" s="707">
        <v>0.3840277777777778</v>
      </c>
      <c r="BX41" s="708">
        <v>45164</v>
      </c>
      <c r="BY41" s="709">
        <v>85</v>
      </c>
      <c r="BZ41" s="710">
        <v>9239.1</v>
      </c>
      <c r="CA41" s="711">
        <f t="shared" si="10"/>
        <v>73.326190476190476</v>
      </c>
      <c r="CB41" s="385">
        <v>6682</v>
      </c>
      <c r="CC41" s="385"/>
      <c r="CD41" s="385"/>
      <c r="CG41" s="442" t="s">
        <v>307</v>
      </c>
      <c r="CH41" s="426">
        <v>0.61249999999999993</v>
      </c>
      <c r="CI41" s="408">
        <v>45341</v>
      </c>
      <c r="CJ41" s="385">
        <v>156</v>
      </c>
      <c r="CK41" s="385">
        <v>813</v>
      </c>
      <c r="CL41" s="527">
        <f t="shared" si="17"/>
        <v>0.16153846153846155</v>
      </c>
      <c r="CM41" s="440">
        <v>8031</v>
      </c>
      <c r="CN41" s="385"/>
      <c r="CO41" s="385"/>
      <c r="CR41" s="399" t="s">
        <v>310</v>
      </c>
      <c r="CS41" s="426">
        <v>0.60277777777777775</v>
      </c>
      <c r="CT41" s="408">
        <v>45503</v>
      </c>
      <c r="CU41" s="385">
        <v>187</v>
      </c>
      <c r="CV41" s="385">
        <v>6206</v>
      </c>
      <c r="CW41" s="429">
        <f t="shared" si="31"/>
        <v>0.22413793103448276</v>
      </c>
      <c r="CX41" s="385">
        <v>8862</v>
      </c>
      <c r="CY41" s="385" t="s">
        <v>67</v>
      </c>
      <c r="CZ41" s="385" t="s">
        <v>417</v>
      </c>
      <c r="DC41" s="409" t="s">
        <v>115</v>
      </c>
      <c r="DD41" s="426">
        <v>0.61458333333333337</v>
      </c>
      <c r="DE41" s="408">
        <v>45896</v>
      </c>
      <c r="DF41" s="385">
        <v>39</v>
      </c>
      <c r="DG41" s="385">
        <v>6460</v>
      </c>
      <c r="DH41" s="651">
        <f t="shared" si="40"/>
        <v>24</v>
      </c>
      <c r="DI41" s="385">
        <v>10290</v>
      </c>
      <c r="DJ41" s="385" t="s">
        <v>168</v>
      </c>
      <c r="DK41" s="385" t="s">
        <v>581</v>
      </c>
      <c r="DO41" s="451">
        <v>0.54513888888888884</v>
      </c>
      <c r="DP41" s="421">
        <v>45540</v>
      </c>
      <c r="DQ41" s="452">
        <v>300</v>
      </c>
      <c r="DR41" s="452">
        <v>766</v>
      </c>
      <c r="DS41" s="402">
        <f t="shared" si="2"/>
        <v>5.3672316384180789E-2</v>
      </c>
      <c r="DT41" s="452">
        <v>8706</v>
      </c>
      <c r="DU41" s="402" t="s">
        <v>46</v>
      </c>
      <c r="DV41" s="452" t="s">
        <v>390</v>
      </c>
      <c r="DY41" s="674">
        <v>0.37291666666666667</v>
      </c>
      <c r="DZ41" s="675">
        <v>45793</v>
      </c>
      <c r="EA41" s="676">
        <v>315</v>
      </c>
      <c r="EB41" s="676">
        <v>1045</v>
      </c>
      <c r="EC41" s="677">
        <f t="shared" si="3"/>
        <v>8.9316239316239319</v>
      </c>
      <c r="ED41" s="676">
        <v>9346</v>
      </c>
      <c r="EE41" s="676" t="s">
        <v>388</v>
      </c>
      <c r="EF41" s="676" t="s">
        <v>582</v>
      </c>
      <c r="EG41" s="519"/>
      <c r="EW41" s="419" t="s">
        <v>63</v>
      </c>
      <c r="EX41" s="426">
        <v>0.35069444444444442</v>
      </c>
      <c r="EY41" s="408">
        <v>45234</v>
      </c>
      <c r="EZ41" s="385">
        <v>95</v>
      </c>
      <c r="FA41" s="385"/>
      <c r="FB41" s="385"/>
      <c r="FC41" s="385">
        <v>6893</v>
      </c>
      <c r="FD41" s="385"/>
      <c r="FE41" s="385"/>
      <c r="FG41" s="409" t="s">
        <v>289</v>
      </c>
      <c r="FH41" s="426">
        <v>0.40694444444444444</v>
      </c>
      <c r="FI41" s="408">
        <v>45976</v>
      </c>
      <c r="FJ41" s="385">
        <v>86</v>
      </c>
      <c r="FK41" s="539">
        <v>772</v>
      </c>
      <c r="FL41" s="511">
        <f t="shared" si="32"/>
        <v>27</v>
      </c>
      <c r="FM41" s="385">
        <v>11194</v>
      </c>
      <c r="FN41" s="385" t="s">
        <v>117</v>
      </c>
      <c r="FO41" s="385" t="s">
        <v>408</v>
      </c>
      <c r="FP41" s="385"/>
      <c r="FR41" s="657"/>
      <c r="FS41" s="451">
        <v>0.41875000000000001</v>
      </c>
      <c r="FT41" s="421">
        <v>45513</v>
      </c>
      <c r="FU41" s="452">
        <v>90</v>
      </c>
      <c r="FV41" s="452">
        <v>2641</v>
      </c>
      <c r="FW41" s="644">
        <f t="shared" si="37"/>
        <v>0.44927536231884058</v>
      </c>
      <c r="FX41" s="452">
        <v>8842</v>
      </c>
      <c r="FY41" s="452" t="s">
        <v>584</v>
      </c>
      <c r="FZ41" s="452" t="s">
        <v>351</v>
      </c>
      <c r="GM41" s="419" t="s">
        <v>542</v>
      </c>
      <c r="GN41" s="451">
        <v>0.77430555555555558</v>
      </c>
      <c r="GO41" s="421">
        <v>45910</v>
      </c>
      <c r="GP41" s="452">
        <v>15</v>
      </c>
      <c r="GQ41" s="452">
        <v>5274</v>
      </c>
      <c r="GR41" s="662">
        <f t="shared" si="34"/>
        <v>5</v>
      </c>
      <c r="GS41" s="452">
        <v>10824</v>
      </c>
      <c r="GT41" s="452"/>
      <c r="GU41" s="452" t="s">
        <v>551</v>
      </c>
      <c r="GX41" s="419" t="s">
        <v>290</v>
      </c>
      <c r="GY41" s="700">
        <v>0.72291666666666665</v>
      </c>
      <c r="GZ41" s="701">
        <v>46041</v>
      </c>
      <c r="HA41" s="539">
        <v>69</v>
      </c>
      <c r="HB41" s="471">
        <v>3439</v>
      </c>
      <c r="HC41" s="539">
        <f t="shared" si="29"/>
        <v>0</v>
      </c>
      <c r="HD41" s="539">
        <v>10624</v>
      </c>
      <c r="HE41" s="539" t="s">
        <v>555</v>
      </c>
      <c r="HF41" s="539" t="s">
        <v>388</v>
      </c>
      <c r="HT41" s="419" t="s">
        <v>324</v>
      </c>
      <c r="HU41" s="426">
        <v>0.5625</v>
      </c>
      <c r="HV41" s="408">
        <v>46056</v>
      </c>
      <c r="HW41" s="385">
        <v>14</v>
      </c>
      <c r="HX41" s="385">
        <v>1327</v>
      </c>
      <c r="HY41" s="385">
        <f t="shared" si="35"/>
        <v>19</v>
      </c>
      <c r="HZ41" s="385">
        <v>10408</v>
      </c>
      <c r="IA41" s="385"/>
      <c r="IB41" s="385" t="s">
        <v>555</v>
      </c>
      <c r="KW41" s="385"/>
      <c r="KX41" s="408"/>
      <c r="KY41" s="385"/>
      <c r="KZ41" s="385"/>
      <c r="LA41" s="407" t="e">
        <f t="shared" si="38"/>
        <v>#DIV/0!</v>
      </c>
      <c r="LD41" s="385"/>
      <c r="LE41" s="552"/>
      <c r="LF41" s="393"/>
      <c r="LG41" s="393"/>
      <c r="LH41" s="477" t="e">
        <f t="shared" si="36"/>
        <v>#DIV/0!</v>
      </c>
      <c r="LI41" s="385"/>
    </row>
    <row r="42" spans="2:321" ht="15.75" customHeight="1" x14ac:dyDescent="0.25">
      <c r="B42" s="467" t="s">
        <v>458</v>
      </c>
      <c r="C42" s="467"/>
      <c r="D42" s="421">
        <v>46058</v>
      </c>
      <c r="E42" s="452">
        <v>76</v>
      </c>
      <c r="F42" s="452"/>
      <c r="G42" s="452">
        <v>10450</v>
      </c>
      <c r="H42" s="452" t="s">
        <v>304</v>
      </c>
      <c r="Q42" s="409" t="s">
        <v>86</v>
      </c>
      <c r="R42" s="426">
        <v>0.41666666666666669</v>
      </c>
      <c r="S42" s="408">
        <v>45955</v>
      </c>
      <c r="T42" s="385">
        <v>35</v>
      </c>
      <c r="U42" s="385">
        <v>950</v>
      </c>
      <c r="V42" s="456">
        <f t="shared" si="39"/>
        <v>20</v>
      </c>
      <c r="W42" s="385">
        <v>11679</v>
      </c>
      <c r="X42" s="385" t="s">
        <v>124</v>
      </c>
      <c r="Y42" s="385" t="s">
        <v>124</v>
      </c>
      <c r="Z42" s="712" t="s">
        <v>590</v>
      </c>
      <c r="AB42" s="355"/>
      <c r="AC42" s="355"/>
      <c r="AD42" s="355"/>
      <c r="AE42" s="355"/>
      <c r="AF42" s="355"/>
      <c r="AG42" s="355"/>
      <c r="AH42" s="355"/>
      <c r="AI42" s="355"/>
      <c r="AJ42" s="355"/>
      <c r="AK42" s="355"/>
      <c r="AZ42" s="355"/>
      <c r="BA42" s="356"/>
      <c r="BB42" s="357"/>
      <c r="BC42" s="357"/>
      <c r="BD42" s="355"/>
      <c r="BE42" s="355"/>
      <c r="BF42" s="355"/>
      <c r="BG42" s="355"/>
      <c r="BH42" s="355"/>
      <c r="BI42" s="355"/>
      <c r="BK42" s="385"/>
      <c r="BL42" s="426">
        <v>0.45069444444444445</v>
      </c>
      <c r="BM42" s="408">
        <v>45160</v>
      </c>
      <c r="BN42" s="385">
        <v>106</v>
      </c>
      <c r="BO42" s="385">
        <v>8407</v>
      </c>
      <c r="BP42" s="407">
        <f t="shared" si="9"/>
        <v>0.90408163265304642</v>
      </c>
      <c r="BQ42" s="440">
        <v>6654</v>
      </c>
      <c r="BR42" s="385"/>
      <c r="BS42" s="385"/>
      <c r="BT42" s="385"/>
      <c r="BU42" s="355"/>
      <c r="BW42" s="600">
        <v>0.3840277777777778</v>
      </c>
      <c r="BX42" s="601">
        <v>45164</v>
      </c>
      <c r="BY42" s="377">
        <v>152</v>
      </c>
      <c r="BZ42" s="377">
        <v>9239.1</v>
      </c>
      <c r="CA42" s="648">
        <f t="shared" si="10"/>
        <v>0</v>
      </c>
      <c r="CB42" s="385">
        <v>6683</v>
      </c>
      <c r="CC42" s="385"/>
      <c r="CD42" s="385"/>
      <c r="CH42" s="451">
        <v>0.80625000000000002</v>
      </c>
      <c r="CI42" s="421">
        <v>45344</v>
      </c>
      <c r="CJ42" s="452">
        <v>128</v>
      </c>
      <c r="CK42" s="452"/>
      <c r="CL42" s="527">
        <f t="shared" si="17"/>
        <v>-5.2115384615384617</v>
      </c>
      <c r="CM42" s="476">
        <v>8184</v>
      </c>
      <c r="CN42" s="452"/>
      <c r="CO42" s="452"/>
      <c r="CS42" s="451"/>
      <c r="CT42" s="421">
        <v>45506</v>
      </c>
      <c r="CU42" s="452">
        <v>156</v>
      </c>
      <c r="CV42" s="452">
        <v>6231</v>
      </c>
      <c r="CW42" s="429">
        <f t="shared" si="31"/>
        <v>0.13368983957219252</v>
      </c>
      <c r="CX42" s="452">
        <v>8899</v>
      </c>
      <c r="CY42" s="452" t="s">
        <v>67</v>
      </c>
      <c r="CZ42" s="385" t="s">
        <v>417</v>
      </c>
      <c r="DD42" s="451">
        <v>0.47222222222222221</v>
      </c>
      <c r="DE42" s="421">
        <v>45898</v>
      </c>
      <c r="DF42" s="452">
        <v>26</v>
      </c>
      <c r="DG42" s="452">
        <v>6472</v>
      </c>
      <c r="DH42" s="713">
        <f t="shared" si="40"/>
        <v>12</v>
      </c>
      <c r="DI42" s="452">
        <v>11408</v>
      </c>
      <c r="DJ42" s="452" t="s">
        <v>168</v>
      </c>
      <c r="DK42" s="452" t="s">
        <v>581</v>
      </c>
      <c r="DN42" s="399" t="s">
        <v>285</v>
      </c>
      <c r="DO42" s="426">
        <v>0.46805555555555556</v>
      </c>
      <c r="DP42" s="408">
        <v>45544</v>
      </c>
      <c r="DQ42" s="385">
        <v>239</v>
      </c>
      <c r="DR42" s="385">
        <v>782</v>
      </c>
      <c r="DS42" s="402">
        <f t="shared" si="2"/>
        <v>5.3333333333333337E-2</v>
      </c>
      <c r="DT42" s="385">
        <v>8722</v>
      </c>
      <c r="DU42" s="402" t="s">
        <v>46</v>
      </c>
      <c r="DV42" s="385" t="s">
        <v>390</v>
      </c>
      <c r="DX42" s="442" t="s">
        <v>286</v>
      </c>
      <c r="DY42" s="551">
        <v>0.52083333333333337</v>
      </c>
      <c r="DZ42" s="552">
        <v>45796</v>
      </c>
      <c r="EA42" s="393">
        <v>250</v>
      </c>
      <c r="EB42" s="393">
        <v>1062</v>
      </c>
      <c r="EC42" s="477">
        <f t="shared" si="3"/>
        <v>5.3968253968253971E-2</v>
      </c>
      <c r="ED42" s="393">
        <v>9827</v>
      </c>
      <c r="EE42" s="393" t="s">
        <v>388</v>
      </c>
      <c r="EF42" s="393" t="s">
        <v>582</v>
      </c>
      <c r="EG42" s="470"/>
      <c r="EX42" s="385"/>
      <c r="EY42" s="408">
        <v>45237</v>
      </c>
      <c r="EZ42" s="385">
        <v>90</v>
      </c>
      <c r="FA42" s="385">
        <v>4874</v>
      </c>
      <c r="FB42" s="385"/>
      <c r="FC42" s="385">
        <v>6919</v>
      </c>
      <c r="FD42" s="385"/>
      <c r="FE42" s="385"/>
      <c r="FH42" s="451">
        <v>0.30069444444444443</v>
      </c>
      <c r="FI42" s="421">
        <v>45981</v>
      </c>
      <c r="FJ42" s="452">
        <v>62</v>
      </c>
      <c r="FK42" s="714">
        <v>772</v>
      </c>
      <c r="FL42" s="511">
        <f t="shared" si="32"/>
        <v>0</v>
      </c>
      <c r="FM42" s="452">
        <v>11059</v>
      </c>
      <c r="FN42" s="452" t="s">
        <v>117</v>
      </c>
      <c r="FO42" s="452" t="s">
        <v>408</v>
      </c>
      <c r="FP42" s="385"/>
      <c r="FR42" s="509" t="s">
        <v>288</v>
      </c>
      <c r="FS42" s="426">
        <v>0.51458333333333328</v>
      </c>
      <c r="FT42" s="408">
        <v>45516</v>
      </c>
      <c r="FU42" s="385">
        <v>66</v>
      </c>
      <c r="FV42" s="385">
        <v>2655</v>
      </c>
      <c r="FW42" s="630">
        <f t="shared" si="37"/>
        <v>0.63265306122448983</v>
      </c>
      <c r="FX42" s="385">
        <v>8982</v>
      </c>
      <c r="FY42" s="385" t="s">
        <v>584</v>
      </c>
      <c r="FZ42" s="385" t="s">
        <v>351</v>
      </c>
      <c r="GM42" s="419" t="s">
        <v>321</v>
      </c>
      <c r="GN42" s="426"/>
      <c r="GO42" s="408">
        <v>45917</v>
      </c>
      <c r="GP42" s="385">
        <v>14</v>
      </c>
      <c r="GQ42" s="385">
        <v>5282</v>
      </c>
      <c r="GR42" s="662">
        <f t="shared" si="34"/>
        <v>8</v>
      </c>
      <c r="GS42" s="385">
        <v>10847</v>
      </c>
      <c r="GT42" s="385"/>
      <c r="GU42" s="385" t="s">
        <v>551</v>
      </c>
      <c r="GY42" s="700">
        <v>0.76736111111111116</v>
      </c>
      <c r="GZ42" s="701">
        <v>46044</v>
      </c>
      <c r="HA42" s="539">
        <v>30</v>
      </c>
      <c r="HB42" s="539">
        <v>3460</v>
      </c>
      <c r="HC42" s="539">
        <f t="shared" si="29"/>
        <v>21</v>
      </c>
      <c r="HD42" s="539">
        <v>10649</v>
      </c>
      <c r="HE42" s="539" t="s">
        <v>555</v>
      </c>
      <c r="HF42" s="539" t="s">
        <v>388</v>
      </c>
      <c r="HT42" s="419" t="s">
        <v>324</v>
      </c>
      <c r="HU42" s="426"/>
      <c r="HV42" s="408">
        <v>46066</v>
      </c>
      <c r="HW42" s="385">
        <v>15</v>
      </c>
      <c r="HX42" s="385">
        <v>1336</v>
      </c>
      <c r="HY42" s="385">
        <f t="shared" si="35"/>
        <v>9</v>
      </c>
      <c r="HZ42" s="385">
        <v>10459</v>
      </c>
      <c r="IA42" s="385"/>
      <c r="IB42" s="385" t="s">
        <v>555</v>
      </c>
      <c r="KW42" s="385"/>
      <c r="KX42" s="408"/>
      <c r="KY42" s="385"/>
      <c r="KZ42" s="385"/>
      <c r="LA42" s="407" t="e">
        <f t="shared" si="38"/>
        <v>#DIV/0!</v>
      </c>
      <c r="LD42" s="611"/>
      <c r="LE42" s="552"/>
      <c r="LF42" s="393"/>
      <c r="LG42" s="393"/>
      <c r="LH42" s="477" t="e">
        <f t="shared" si="36"/>
        <v>#DIV/0!</v>
      </c>
      <c r="LI42" s="393"/>
    </row>
    <row r="43" spans="2:321" ht="15.75" customHeight="1" x14ac:dyDescent="0.25">
      <c r="B43" s="467" t="s">
        <v>369</v>
      </c>
      <c r="C43" s="467"/>
      <c r="D43" s="421">
        <v>46065</v>
      </c>
      <c r="E43" s="452">
        <v>29</v>
      </c>
      <c r="F43" s="452"/>
      <c r="G43" s="452">
        <v>10453</v>
      </c>
      <c r="H43" s="452" t="s">
        <v>64</v>
      </c>
      <c r="Q43" s="409" t="s">
        <v>86</v>
      </c>
      <c r="R43" s="426">
        <v>0.55208333333333337</v>
      </c>
      <c r="S43" s="408">
        <v>45966</v>
      </c>
      <c r="T43" s="385">
        <v>35</v>
      </c>
      <c r="U43" s="385">
        <v>964</v>
      </c>
      <c r="V43" s="456">
        <f t="shared" si="39"/>
        <v>14</v>
      </c>
      <c r="W43" s="385">
        <v>11021</v>
      </c>
      <c r="X43" s="385" t="s">
        <v>388</v>
      </c>
      <c r="Y43" s="385" t="s">
        <v>555</v>
      </c>
      <c r="AB43" s="355"/>
      <c r="AC43" s="355"/>
      <c r="AD43" s="355"/>
      <c r="AE43" s="355"/>
      <c r="AF43" s="355"/>
      <c r="AG43" s="355"/>
      <c r="AH43" s="355"/>
      <c r="AI43" s="355"/>
      <c r="AJ43" s="355"/>
      <c r="AK43" s="355"/>
      <c r="AZ43" s="355"/>
      <c r="BA43" s="356"/>
      <c r="BB43" s="357"/>
      <c r="BC43" s="357"/>
      <c r="BD43" s="355"/>
      <c r="BE43" s="355"/>
      <c r="BF43" s="355"/>
      <c r="BG43" s="355"/>
      <c r="BH43" s="355"/>
      <c r="BI43" s="355"/>
      <c r="BK43" s="385" t="s">
        <v>503</v>
      </c>
      <c r="BL43" s="426">
        <v>0.50555555555555554</v>
      </c>
      <c r="BM43" s="408">
        <v>45168</v>
      </c>
      <c r="BN43" s="385">
        <v>101</v>
      </c>
      <c r="BO43" s="385">
        <v>8446</v>
      </c>
      <c r="BP43" s="407">
        <f t="shared" si="9"/>
        <v>0.36792452830188677</v>
      </c>
      <c r="BQ43" s="440">
        <v>6712</v>
      </c>
      <c r="BR43" s="385"/>
      <c r="BS43" s="385"/>
      <c r="BT43" s="385"/>
      <c r="BU43" s="355"/>
      <c r="BW43" s="451">
        <v>0.3354166666666667</v>
      </c>
      <c r="BX43" s="421">
        <v>45169</v>
      </c>
      <c r="BY43" s="452">
        <v>98</v>
      </c>
      <c r="BZ43" s="452">
        <v>9267.4</v>
      </c>
      <c r="CA43" s="648">
        <f t="shared" si="10"/>
        <v>0.18618421052631101</v>
      </c>
      <c r="CB43" s="452">
        <v>6722</v>
      </c>
      <c r="CC43" s="452"/>
      <c r="CD43" s="385"/>
      <c r="CG43" s="442" t="s">
        <v>307</v>
      </c>
      <c r="CH43" s="426">
        <v>0.3125</v>
      </c>
      <c r="CI43" s="408">
        <v>45346</v>
      </c>
      <c r="CJ43" s="385">
        <v>150</v>
      </c>
      <c r="CK43" s="385"/>
      <c r="CL43" s="527">
        <f t="shared" si="17"/>
        <v>0</v>
      </c>
      <c r="CM43" s="440">
        <v>4846</v>
      </c>
      <c r="CN43" s="385"/>
      <c r="CO43" s="385"/>
      <c r="CR43" s="399" t="s">
        <v>310</v>
      </c>
      <c r="CS43" s="451">
        <v>0.35625000000000001</v>
      </c>
      <c r="CT43" s="421">
        <v>45516</v>
      </c>
      <c r="CU43" s="452">
        <v>169</v>
      </c>
      <c r="CV43" s="452">
        <v>6260</v>
      </c>
      <c r="CW43" s="429">
        <f t="shared" si="31"/>
        <v>0.1858974358974359</v>
      </c>
      <c r="CX43" s="452">
        <v>8981</v>
      </c>
      <c r="CY43" s="452" t="s">
        <v>591</v>
      </c>
      <c r="CZ43" s="452" t="s">
        <v>417</v>
      </c>
      <c r="DC43" s="409" t="s">
        <v>115</v>
      </c>
      <c r="DD43" s="426">
        <v>0.59027777777777779</v>
      </c>
      <c r="DE43" s="408">
        <v>45902</v>
      </c>
      <c r="DF43" s="385">
        <v>34</v>
      </c>
      <c r="DG43" s="385">
        <v>6492</v>
      </c>
      <c r="DH43" s="651">
        <f t="shared" si="40"/>
        <v>20</v>
      </c>
      <c r="DI43" s="385">
        <v>11425</v>
      </c>
      <c r="DJ43" s="385" t="s">
        <v>168</v>
      </c>
      <c r="DK43" s="385" t="s">
        <v>581</v>
      </c>
      <c r="DO43" s="426">
        <v>0.52500000000000002</v>
      </c>
      <c r="DP43" s="408">
        <v>45546</v>
      </c>
      <c r="DQ43" s="385">
        <v>299</v>
      </c>
      <c r="DR43" s="385">
        <v>799</v>
      </c>
      <c r="DS43" s="402">
        <f t="shared" si="2"/>
        <v>7.1129707112970716E-2</v>
      </c>
      <c r="DT43" s="385">
        <v>8735</v>
      </c>
      <c r="DU43" s="402" t="s">
        <v>46</v>
      </c>
      <c r="DV43" s="385" t="s">
        <v>390</v>
      </c>
      <c r="DY43" s="551">
        <v>0.51666666666666672</v>
      </c>
      <c r="DZ43" s="552">
        <v>45799</v>
      </c>
      <c r="EA43" s="393">
        <v>250</v>
      </c>
      <c r="EB43" s="393">
        <v>1085</v>
      </c>
      <c r="EC43" s="715">
        <f t="shared" si="3"/>
        <v>9.1999999999999998E-2</v>
      </c>
      <c r="ED43" s="393">
        <v>12174</v>
      </c>
      <c r="EE43" s="393" t="s">
        <v>388</v>
      </c>
      <c r="EF43" s="393" t="s">
        <v>582</v>
      </c>
      <c r="EG43" s="470"/>
      <c r="EJ43" s="716" t="s">
        <v>592</v>
      </c>
      <c r="EK43" s="716"/>
      <c r="EL43" s="348">
        <v>1500</v>
      </c>
      <c r="EM43" s="355"/>
      <c r="EW43" s="348" t="s">
        <v>593</v>
      </c>
      <c r="EX43" s="426">
        <v>0.5083333333333333</v>
      </c>
      <c r="EY43" s="408">
        <v>45239</v>
      </c>
      <c r="EZ43" s="385">
        <v>50</v>
      </c>
      <c r="FA43" s="385"/>
      <c r="FB43" s="385"/>
      <c r="FC43" s="670">
        <v>4459</v>
      </c>
      <c r="FD43" s="670"/>
      <c r="FE43" s="385"/>
      <c r="FG43" s="409" t="s">
        <v>289</v>
      </c>
      <c r="FH43" s="426">
        <v>0.43958333333333333</v>
      </c>
      <c r="FI43" s="408">
        <v>45983</v>
      </c>
      <c r="FJ43" s="385">
        <v>104</v>
      </c>
      <c r="FK43" s="539">
        <v>812</v>
      </c>
      <c r="FL43" s="511">
        <f t="shared" si="32"/>
        <v>40</v>
      </c>
      <c r="FM43" s="385">
        <v>11080</v>
      </c>
      <c r="FN43" s="385" t="s">
        <v>117</v>
      </c>
      <c r="FO43" s="385" t="s">
        <v>408</v>
      </c>
      <c r="FS43" s="451"/>
      <c r="FT43" s="421">
        <v>45518</v>
      </c>
      <c r="FU43" s="452">
        <v>96</v>
      </c>
      <c r="FV43" s="452">
        <v>2675</v>
      </c>
      <c r="FW43" s="644">
        <f t="shared" si="37"/>
        <v>0.37777777777777777</v>
      </c>
      <c r="FX43" s="452">
        <v>8994</v>
      </c>
      <c r="FY43" s="452" t="s">
        <v>584</v>
      </c>
      <c r="FZ43" s="452" t="s">
        <v>351</v>
      </c>
      <c r="GM43" s="419" t="s">
        <v>321</v>
      </c>
      <c r="GN43" s="426"/>
      <c r="GO43" s="408">
        <v>45937</v>
      </c>
      <c r="GP43" s="385">
        <v>62</v>
      </c>
      <c r="GQ43" s="385">
        <v>5308</v>
      </c>
      <c r="GR43" s="662">
        <f t="shared" si="34"/>
        <v>26</v>
      </c>
      <c r="GS43" s="385">
        <v>10856</v>
      </c>
      <c r="GT43" s="385" t="s">
        <v>69</v>
      </c>
      <c r="GU43" s="385" t="s">
        <v>594</v>
      </c>
      <c r="GX43" s="419" t="s">
        <v>290</v>
      </c>
      <c r="GY43" s="700">
        <v>0.54861111111111116</v>
      </c>
      <c r="GZ43" s="701">
        <v>46056</v>
      </c>
      <c r="HA43" s="539">
        <v>58</v>
      </c>
      <c r="HB43" s="539">
        <v>3476</v>
      </c>
      <c r="HC43" s="539">
        <f t="shared" si="29"/>
        <v>16</v>
      </c>
      <c r="HD43" s="539">
        <v>10406</v>
      </c>
      <c r="HE43" s="539" t="s">
        <v>555</v>
      </c>
      <c r="HF43" s="539" t="s">
        <v>80</v>
      </c>
      <c r="HT43" s="419" t="s">
        <v>324</v>
      </c>
      <c r="HU43" s="426">
        <v>0.89583333333333337</v>
      </c>
      <c r="HV43" s="408">
        <v>46072</v>
      </c>
      <c r="HW43" s="385">
        <v>4</v>
      </c>
      <c r="HX43" s="385"/>
      <c r="HY43" s="385">
        <f t="shared" si="35"/>
        <v>-1336</v>
      </c>
      <c r="HZ43" s="385">
        <v>9723</v>
      </c>
      <c r="IA43" s="385"/>
      <c r="IB43" s="385" t="s">
        <v>555</v>
      </c>
      <c r="KW43" s="385"/>
      <c r="KX43" s="552"/>
      <c r="KY43" s="393"/>
      <c r="KZ43" s="393"/>
      <c r="LA43" s="477" t="e">
        <f t="shared" si="38"/>
        <v>#DIV/0!</v>
      </c>
      <c r="LB43" s="385"/>
      <c r="LD43" s="611"/>
      <c r="LE43" s="623"/>
      <c r="LF43" s="624"/>
      <c r="LG43" s="624"/>
      <c r="LH43" s="635" t="e">
        <f t="shared" si="36"/>
        <v>#DIV/0!</v>
      </c>
      <c r="LI43" s="624"/>
    </row>
    <row r="44" spans="2:321" ht="15.75" customHeight="1" x14ac:dyDescent="0.25">
      <c r="B44" s="467" t="s">
        <v>458</v>
      </c>
      <c r="C44" s="467"/>
      <c r="D44" s="421">
        <v>46065</v>
      </c>
      <c r="E44" s="452">
        <v>55</v>
      </c>
      <c r="F44" s="452"/>
      <c r="G44" s="452">
        <v>18932</v>
      </c>
      <c r="H44" s="452" t="s">
        <v>304</v>
      </c>
      <c r="Q44" s="409" t="s">
        <v>86</v>
      </c>
      <c r="R44" s="426">
        <v>0.69861111111111107</v>
      </c>
      <c r="S44" s="408">
        <v>45973</v>
      </c>
      <c r="T44" s="385">
        <v>35</v>
      </c>
      <c r="U44" s="385">
        <v>978</v>
      </c>
      <c r="V44" s="456">
        <f t="shared" si="39"/>
        <v>14</v>
      </c>
      <c r="W44" s="385">
        <v>11172</v>
      </c>
      <c r="X44" s="385" t="s">
        <v>388</v>
      </c>
      <c r="Y44" s="385" t="s">
        <v>555</v>
      </c>
      <c r="AB44" s="355"/>
      <c r="AC44" s="355"/>
      <c r="AD44" s="355"/>
      <c r="AE44" s="355"/>
      <c r="AF44" s="355"/>
      <c r="AG44" s="355"/>
      <c r="AH44" s="355"/>
      <c r="AI44" s="355"/>
      <c r="AJ44" s="355"/>
      <c r="AK44" s="355"/>
      <c r="AZ44" s="355"/>
      <c r="BA44" s="356"/>
      <c r="BB44" s="357"/>
      <c r="BC44" s="357"/>
      <c r="BD44" s="355"/>
      <c r="BE44" s="355"/>
      <c r="BF44" s="355"/>
      <c r="BG44" s="355"/>
      <c r="BH44" s="355"/>
      <c r="BI44" s="355"/>
      <c r="BK44" s="385" t="s">
        <v>503</v>
      </c>
      <c r="BL44" s="385"/>
      <c r="BM44" s="408">
        <v>45171</v>
      </c>
      <c r="BN44" s="385">
        <v>99</v>
      </c>
      <c r="BO44" s="385">
        <v>8468</v>
      </c>
      <c r="BP44" s="407">
        <f t="shared" si="9"/>
        <v>0.21782178217821782</v>
      </c>
      <c r="BQ44" s="440">
        <v>6747</v>
      </c>
      <c r="BR44" s="385"/>
      <c r="BS44" s="385"/>
      <c r="BT44" s="385"/>
      <c r="BU44" s="355"/>
      <c r="BV44" s="717" t="s">
        <v>306</v>
      </c>
      <c r="BW44" s="426">
        <v>0.41666666666666669</v>
      </c>
      <c r="BX44" s="408">
        <v>45173</v>
      </c>
      <c r="BY44" s="385">
        <v>112</v>
      </c>
      <c r="BZ44" s="385">
        <v>9285.6</v>
      </c>
      <c r="CA44" s="648">
        <f t="shared" si="10"/>
        <v>0.18571428571429313</v>
      </c>
      <c r="CB44" s="385">
        <v>4901</v>
      </c>
      <c r="CC44" s="385"/>
      <c r="CD44" s="385"/>
      <c r="CH44" s="426">
        <v>0.54097222222222219</v>
      </c>
      <c r="CI44" s="408">
        <v>45348</v>
      </c>
      <c r="CJ44" s="385">
        <v>145</v>
      </c>
      <c r="CK44" s="385"/>
      <c r="CL44" s="527">
        <f t="shared" si="17"/>
        <v>0</v>
      </c>
      <c r="CM44" s="440">
        <v>8414</v>
      </c>
      <c r="CN44" s="385"/>
      <c r="CO44" s="385"/>
      <c r="CR44" s="399" t="s">
        <v>310</v>
      </c>
      <c r="CS44" s="426"/>
      <c r="CT44" s="408">
        <v>45521</v>
      </c>
      <c r="CU44" s="385">
        <v>549</v>
      </c>
      <c r="CV44" s="385">
        <v>6304</v>
      </c>
      <c r="CW44" s="429">
        <f t="shared" si="31"/>
        <v>0.26035502958579881</v>
      </c>
      <c r="CX44" s="385">
        <v>8556</v>
      </c>
      <c r="CY44" s="385" t="s">
        <v>591</v>
      </c>
      <c r="CZ44" s="385" t="s">
        <v>417</v>
      </c>
      <c r="DD44" s="426">
        <v>0.6333333333333333</v>
      </c>
      <c r="DE44" s="408">
        <v>45905</v>
      </c>
      <c r="DF44" s="385">
        <v>31</v>
      </c>
      <c r="DG44" s="385">
        <v>6509</v>
      </c>
      <c r="DH44" s="651">
        <f t="shared" si="40"/>
        <v>17</v>
      </c>
      <c r="DI44" s="385">
        <v>10804</v>
      </c>
      <c r="DJ44" s="385" t="s">
        <v>168</v>
      </c>
      <c r="DK44" s="385" t="s">
        <v>581</v>
      </c>
      <c r="DO44" s="451">
        <v>0.47569444444444442</v>
      </c>
      <c r="DP44" s="421">
        <v>45548</v>
      </c>
      <c r="DQ44" s="452">
        <v>390</v>
      </c>
      <c r="DR44" s="452">
        <v>814</v>
      </c>
      <c r="DS44" s="402">
        <f t="shared" si="2"/>
        <v>5.016722408026756E-2</v>
      </c>
      <c r="DT44" s="452">
        <v>9067</v>
      </c>
      <c r="DU44" s="402" t="s">
        <v>46</v>
      </c>
      <c r="DV44" s="452" t="s">
        <v>390</v>
      </c>
      <c r="DX44" s="442" t="s">
        <v>286</v>
      </c>
      <c r="DY44" s="426">
        <v>0.53333333333333333</v>
      </c>
      <c r="DZ44" s="408">
        <v>45803</v>
      </c>
      <c r="EA44" s="385">
        <v>364</v>
      </c>
      <c r="EB44" s="385"/>
      <c r="EC44" s="407">
        <f t="shared" si="3"/>
        <v>-4.34</v>
      </c>
      <c r="ED44" s="385">
        <v>9372</v>
      </c>
      <c r="EE44" s="385" t="s">
        <v>388</v>
      </c>
      <c r="EF44" s="385" t="s">
        <v>582</v>
      </c>
      <c r="EG44" s="470"/>
      <c r="EJ44" s="718" t="s">
        <v>595</v>
      </c>
      <c r="EK44" s="718"/>
      <c r="EL44" s="385">
        <v>1250</v>
      </c>
      <c r="EM44" s="719">
        <v>45956</v>
      </c>
      <c r="EX44" s="426">
        <v>0.49236111111111108</v>
      </c>
      <c r="EY44" s="408">
        <v>45240</v>
      </c>
      <c r="EZ44" s="385">
        <v>57</v>
      </c>
      <c r="FA44" s="385"/>
      <c r="FB44" s="385"/>
      <c r="FC44" s="385">
        <v>6959</v>
      </c>
      <c r="FD44" s="385"/>
      <c r="FE44" s="385"/>
      <c r="FH44" s="426">
        <v>0.71944444444444444</v>
      </c>
      <c r="FI44" s="408">
        <v>45986</v>
      </c>
      <c r="FJ44" s="385">
        <v>107</v>
      </c>
      <c r="FK44" s="539">
        <v>834</v>
      </c>
      <c r="FL44" s="511">
        <f t="shared" si="32"/>
        <v>22</v>
      </c>
      <c r="FM44" s="385">
        <v>11094</v>
      </c>
      <c r="FN44" s="385" t="s">
        <v>117</v>
      </c>
      <c r="FO44" s="385" t="s">
        <v>408</v>
      </c>
      <c r="FR44" s="509" t="s">
        <v>288</v>
      </c>
      <c r="FS44" s="426"/>
      <c r="FT44" s="408">
        <v>45521</v>
      </c>
      <c r="FU44" s="385">
        <v>30</v>
      </c>
      <c r="FV44" s="385"/>
      <c r="FW44" s="630">
        <f t="shared" si="37"/>
        <v>-40.227272727272727</v>
      </c>
      <c r="FX44" s="385">
        <v>8558</v>
      </c>
      <c r="FY44" s="385" t="s">
        <v>584</v>
      </c>
      <c r="FZ44" s="385" t="s">
        <v>351</v>
      </c>
      <c r="GM44" s="419" t="s">
        <v>321</v>
      </c>
      <c r="GN44" s="451">
        <v>0.49166666666666664</v>
      </c>
      <c r="GO44" s="421">
        <v>45944</v>
      </c>
      <c r="GP44" s="452">
        <v>56</v>
      </c>
      <c r="GQ44" s="452">
        <v>5334</v>
      </c>
      <c r="GR44" s="662">
        <f t="shared" si="34"/>
        <v>26</v>
      </c>
      <c r="GS44" s="452">
        <v>10873</v>
      </c>
      <c r="GT44" s="452" t="s">
        <v>69</v>
      </c>
      <c r="GU44" s="452" t="s">
        <v>594</v>
      </c>
      <c r="GY44" s="700">
        <v>0.61805555555555558</v>
      </c>
      <c r="GZ44" s="701">
        <v>46059</v>
      </c>
      <c r="HA44" s="539">
        <v>42</v>
      </c>
      <c r="HB44" s="539">
        <v>3484</v>
      </c>
      <c r="HC44" s="539">
        <f t="shared" si="29"/>
        <v>8</v>
      </c>
      <c r="HD44" s="539">
        <v>10509</v>
      </c>
      <c r="HE44" s="539" t="s">
        <v>555</v>
      </c>
      <c r="HF44" s="539" t="s">
        <v>80</v>
      </c>
      <c r="HT44" s="419" t="s">
        <v>324</v>
      </c>
      <c r="HU44" s="491">
        <v>0.60763888888888884</v>
      </c>
      <c r="HV44" s="513">
        <v>46080</v>
      </c>
      <c r="HW44" s="469">
        <v>23</v>
      </c>
      <c r="HX44" s="469"/>
      <c r="HY44" s="385">
        <f t="shared" si="35"/>
        <v>0</v>
      </c>
      <c r="HZ44" s="469">
        <v>13331</v>
      </c>
      <c r="IA44" s="469"/>
      <c r="IB44" s="469" t="s">
        <v>555</v>
      </c>
      <c r="KW44" s="611"/>
      <c r="KX44" s="552"/>
      <c r="KY44" s="393"/>
      <c r="KZ44" s="393"/>
      <c r="LA44" s="477" t="e">
        <f t="shared" si="38"/>
        <v>#DIV/0!</v>
      </c>
      <c r="LB44" s="393"/>
      <c r="LE44" s="408"/>
      <c r="LF44" s="385"/>
      <c r="LG44" s="385"/>
      <c r="LH44" s="407" t="e">
        <f t="shared" si="36"/>
        <v>#DIV/0!</v>
      </c>
      <c r="LI44" s="385"/>
    </row>
    <row r="45" spans="2:321" ht="15.75" customHeight="1" x14ac:dyDescent="0.25">
      <c r="B45" s="467" t="s">
        <v>458</v>
      </c>
      <c r="C45" s="467"/>
      <c r="D45" s="421">
        <v>46072</v>
      </c>
      <c r="E45" s="452">
        <v>74</v>
      </c>
      <c r="F45" s="452"/>
      <c r="G45" s="452">
        <v>9718</v>
      </c>
      <c r="H45" s="452" t="s">
        <v>304</v>
      </c>
      <c r="I45" s="354"/>
      <c r="Q45" s="409" t="s">
        <v>86</v>
      </c>
      <c r="R45" s="426">
        <v>0.34652777777777777</v>
      </c>
      <c r="S45" s="408">
        <v>45979</v>
      </c>
      <c r="T45" s="385">
        <v>44</v>
      </c>
      <c r="U45" s="385">
        <v>978</v>
      </c>
      <c r="V45" s="456">
        <f t="shared" si="39"/>
        <v>0</v>
      </c>
      <c r="W45" s="385">
        <v>11053</v>
      </c>
      <c r="X45" s="385" t="s">
        <v>388</v>
      </c>
      <c r="Y45" s="385" t="s">
        <v>555</v>
      </c>
      <c r="AB45" s="355"/>
      <c r="AC45" s="355"/>
      <c r="AD45" s="355"/>
      <c r="AE45" s="355"/>
      <c r="AF45" s="355"/>
      <c r="AG45" s="355"/>
      <c r="AH45" s="355"/>
      <c r="AI45" s="355"/>
      <c r="AJ45" s="355"/>
      <c r="AK45" s="355"/>
      <c r="AX45" s="656" t="s">
        <v>432</v>
      </c>
      <c r="AY45" s="598">
        <f>AY46+250</f>
        <v>3690</v>
      </c>
      <c r="AZ45" s="355"/>
      <c r="BA45" s="356"/>
      <c r="BB45" s="357"/>
      <c r="BC45" s="357"/>
      <c r="BD45" s="355"/>
      <c r="BE45" s="355"/>
      <c r="BF45" s="355"/>
      <c r="BG45" s="355"/>
      <c r="BH45" s="355"/>
      <c r="BI45" s="355"/>
      <c r="BK45" s="385"/>
      <c r="BL45" s="451">
        <v>0.53680555555555554</v>
      </c>
      <c r="BM45" s="421">
        <v>45176</v>
      </c>
      <c r="BN45" s="452">
        <v>103</v>
      </c>
      <c r="BO45" s="452">
        <v>8486</v>
      </c>
      <c r="BP45" s="402">
        <f t="shared" si="9"/>
        <v>0.18181818181818182</v>
      </c>
      <c r="BQ45" s="476">
        <v>4943</v>
      </c>
      <c r="BR45" s="452"/>
      <c r="BS45" s="452"/>
      <c r="BT45" s="385"/>
      <c r="BU45" s="355"/>
      <c r="BW45" s="451">
        <v>0.50416666666666665</v>
      </c>
      <c r="BX45" s="421">
        <v>45175</v>
      </c>
      <c r="BY45" s="452">
        <v>89</v>
      </c>
      <c r="BZ45" s="452">
        <v>9302.7000000000007</v>
      </c>
      <c r="CA45" s="692">
        <f t="shared" si="10"/>
        <v>0.15267857142857469</v>
      </c>
      <c r="CB45" s="452">
        <v>4927</v>
      </c>
      <c r="CC45" s="452"/>
      <c r="CD45" s="385"/>
      <c r="CH45" s="426">
        <v>0.3347222222222222</v>
      </c>
      <c r="CI45" s="408">
        <v>45350</v>
      </c>
      <c r="CJ45" s="385">
        <v>120</v>
      </c>
      <c r="CK45" s="385">
        <v>0</v>
      </c>
      <c r="CL45" s="527">
        <f t="shared" si="17"/>
        <v>0</v>
      </c>
      <c r="CM45" s="440">
        <v>4864</v>
      </c>
      <c r="CN45" s="385"/>
      <c r="CO45" s="385"/>
      <c r="CS45" s="451">
        <v>0.52569444444444446</v>
      </c>
      <c r="CT45" s="421">
        <v>45525</v>
      </c>
      <c r="CU45" s="452">
        <v>190</v>
      </c>
      <c r="CV45" s="452">
        <v>6330</v>
      </c>
      <c r="CW45" s="429">
        <f t="shared" si="31"/>
        <v>4.7358834244080147E-2</v>
      </c>
      <c r="CX45" s="452">
        <v>6553</v>
      </c>
      <c r="CY45" s="452" t="s">
        <v>591</v>
      </c>
      <c r="CZ45" s="452" t="s">
        <v>417</v>
      </c>
      <c r="DC45" s="409" t="s">
        <v>115</v>
      </c>
      <c r="DD45" s="426">
        <v>0.41736111111111113</v>
      </c>
      <c r="DE45" s="408">
        <v>45915</v>
      </c>
      <c r="DF45" s="385">
        <v>51</v>
      </c>
      <c r="DG45" s="385">
        <v>6509</v>
      </c>
      <c r="DH45" s="651">
        <f t="shared" si="40"/>
        <v>0</v>
      </c>
      <c r="DI45" s="385">
        <v>10842</v>
      </c>
      <c r="DJ45" s="385" t="s">
        <v>168</v>
      </c>
      <c r="DK45" s="385" t="s">
        <v>581</v>
      </c>
      <c r="DN45" s="399" t="s">
        <v>285</v>
      </c>
      <c r="DO45" s="451">
        <v>0.41805555555555557</v>
      </c>
      <c r="DP45" s="421">
        <v>45553</v>
      </c>
      <c r="DQ45" s="452">
        <v>280</v>
      </c>
      <c r="DR45" s="452">
        <v>832</v>
      </c>
      <c r="DS45" s="402">
        <f t="shared" si="2"/>
        <v>4.6153846153846156E-2</v>
      </c>
      <c r="DT45" s="452">
        <v>9083</v>
      </c>
      <c r="DU45" s="402" t="s">
        <v>46</v>
      </c>
      <c r="DV45" s="452" t="s">
        <v>390</v>
      </c>
      <c r="DY45" s="426">
        <v>0.37708333333333333</v>
      </c>
      <c r="DZ45" s="408">
        <v>45807</v>
      </c>
      <c r="EA45" s="385">
        <v>136</v>
      </c>
      <c r="EB45" s="385">
        <v>1118</v>
      </c>
      <c r="EC45" s="720">
        <f t="shared" si="3"/>
        <v>3.0714285714285716</v>
      </c>
      <c r="ED45" s="385">
        <v>9890</v>
      </c>
      <c r="EE45" s="385" t="s">
        <v>308</v>
      </c>
      <c r="EF45" s="385" t="s">
        <v>582</v>
      </c>
      <c r="EG45" s="470"/>
      <c r="EJ45" s="721" t="s">
        <v>564</v>
      </c>
      <c r="EK45" s="721"/>
      <c r="EL45" s="385">
        <f>EL46+250</f>
        <v>1022</v>
      </c>
      <c r="EM45" s="355"/>
      <c r="EW45" s="419" t="s">
        <v>63</v>
      </c>
      <c r="EX45" s="385"/>
      <c r="EY45" s="408">
        <v>45243</v>
      </c>
      <c r="EZ45" s="385">
        <v>44</v>
      </c>
      <c r="FA45" s="385"/>
      <c r="FB45" s="385"/>
      <c r="FC45" s="385">
        <v>6793</v>
      </c>
      <c r="FD45" s="385"/>
      <c r="FE45" s="385"/>
      <c r="FH45" s="426">
        <v>0.50972222222222219</v>
      </c>
      <c r="FI45" s="408">
        <v>45989</v>
      </c>
      <c r="FJ45" s="385">
        <v>97</v>
      </c>
      <c r="FK45" s="539">
        <v>855</v>
      </c>
      <c r="FL45" s="511">
        <f t="shared" si="32"/>
        <v>21</v>
      </c>
      <c r="FM45" s="385"/>
      <c r="FN45" s="385" t="s">
        <v>117</v>
      </c>
      <c r="FO45" s="385" t="s">
        <v>408</v>
      </c>
      <c r="FR45" s="355"/>
      <c r="FS45" s="426"/>
      <c r="FT45" s="408">
        <v>45521</v>
      </c>
      <c r="FU45" s="385">
        <v>30</v>
      </c>
      <c r="FV45" s="385"/>
      <c r="FW45" s="630">
        <f t="shared" si="37"/>
        <v>-27.864583333333332</v>
      </c>
      <c r="FX45" s="385">
        <v>8558</v>
      </c>
      <c r="FY45" s="385" t="s">
        <v>584</v>
      </c>
      <c r="FZ45" s="385" t="s">
        <v>351</v>
      </c>
      <c r="GM45" s="419" t="s">
        <v>321</v>
      </c>
      <c r="GN45" s="426">
        <v>0.50694444444444442</v>
      </c>
      <c r="GO45" s="408">
        <v>45948</v>
      </c>
      <c r="GP45" s="385">
        <v>63</v>
      </c>
      <c r="GQ45" s="385">
        <v>5360</v>
      </c>
      <c r="GR45" s="662">
        <f t="shared" si="34"/>
        <v>26</v>
      </c>
      <c r="GS45" s="385">
        <v>11551</v>
      </c>
      <c r="GT45" s="385" t="s">
        <v>69</v>
      </c>
      <c r="GU45" s="385" t="s">
        <v>594</v>
      </c>
      <c r="GX45" s="419" t="s">
        <v>290</v>
      </c>
      <c r="GY45" s="700">
        <v>0.49444444444444446</v>
      </c>
      <c r="GZ45" s="701">
        <v>46066</v>
      </c>
      <c r="HA45" s="539">
        <v>61</v>
      </c>
      <c r="HB45" s="471">
        <v>3484</v>
      </c>
      <c r="HC45" s="539">
        <f t="shared" si="29"/>
        <v>0</v>
      </c>
      <c r="HD45" s="539">
        <v>10458</v>
      </c>
      <c r="HE45" s="539" t="s">
        <v>555</v>
      </c>
      <c r="HF45" s="539" t="s">
        <v>80</v>
      </c>
      <c r="KW45" s="611"/>
      <c r="KX45" s="623"/>
      <c r="KY45" s="624"/>
      <c r="KZ45" s="624"/>
      <c r="LA45" s="635" t="e">
        <f t="shared" si="38"/>
        <v>#DIV/0!</v>
      </c>
      <c r="LB45" s="624"/>
      <c r="LD45" s="442"/>
      <c r="LE45" s="408"/>
      <c r="LF45" s="385"/>
      <c r="LG45" s="385"/>
      <c r="LH45" s="407" t="e">
        <f t="shared" si="36"/>
        <v>#DIV/0!</v>
      </c>
      <c r="LI45" s="385"/>
    </row>
    <row r="46" spans="2:321" ht="15.75" customHeight="1" x14ac:dyDescent="0.25">
      <c r="B46" s="467" t="s">
        <v>282</v>
      </c>
      <c r="C46" s="467"/>
      <c r="D46" s="421">
        <v>46072</v>
      </c>
      <c r="E46" s="452">
        <v>108</v>
      </c>
      <c r="F46" s="452"/>
      <c r="G46" s="452">
        <v>9720</v>
      </c>
      <c r="H46" s="452" t="s">
        <v>64</v>
      </c>
      <c r="I46" s="354"/>
      <c r="Q46" s="354"/>
      <c r="R46" s="426">
        <v>0.47916666666666669</v>
      </c>
      <c r="S46" s="408">
        <v>45982</v>
      </c>
      <c r="T46" s="385">
        <v>12</v>
      </c>
      <c r="U46" s="385">
        <v>990</v>
      </c>
      <c r="V46" s="456">
        <f t="shared" si="39"/>
        <v>12</v>
      </c>
      <c r="W46" s="385">
        <v>11072</v>
      </c>
      <c r="X46" s="385" t="s">
        <v>388</v>
      </c>
      <c r="Y46" s="385" t="s">
        <v>555</v>
      </c>
      <c r="AB46" s="355"/>
      <c r="AC46" s="355"/>
      <c r="AD46" s="355"/>
      <c r="AE46" s="355"/>
      <c r="AF46" s="355"/>
      <c r="AG46" s="355"/>
      <c r="AH46" s="355"/>
      <c r="AI46" s="355"/>
      <c r="AJ46" s="355"/>
      <c r="AK46" s="355"/>
      <c r="AX46" s="656" t="s">
        <v>438</v>
      </c>
      <c r="AY46" s="598">
        <v>3440</v>
      </c>
      <c r="AZ46" s="355"/>
      <c r="BA46" s="356"/>
      <c r="BB46" s="357"/>
      <c r="BC46" s="357"/>
      <c r="BD46" s="355"/>
      <c r="BE46" s="355"/>
      <c r="BF46" s="355"/>
      <c r="BG46" s="355"/>
      <c r="BH46" s="355"/>
      <c r="BI46" s="355"/>
      <c r="BK46" s="385" t="s">
        <v>503</v>
      </c>
      <c r="BL46" s="426">
        <v>0.55625000000000002</v>
      </c>
      <c r="BM46" s="408">
        <v>45187</v>
      </c>
      <c r="BN46" s="385">
        <v>97</v>
      </c>
      <c r="BO46" s="385">
        <v>8515</v>
      </c>
      <c r="BP46" s="402">
        <f t="shared" si="9"/>
        <v>0.28155339805825241</v>
      </c>
      <c r="BQ46" s="440">
        <v>5769</v>
      </c>
      <c r="BR46" s="385"/>
      <c r="BS46" s="385"/>
      <c r="BT46" s="385"/>
      <c r="BU46" s="355"/>
      <c r="BV46" s="717" t="s">
        <v>306</v>
      </c>
      <c r="BW46" s="451">
        <v>0.37152777777777773</v>
      </c>
      <c r="BX46" s="421">
        <v>45182</v>
      </c>
      <c r="BY46" s="452">
        <v>106</v>
      </c>
      <c r="BZ46" s="452">
        <v>9323.4</v>
      </c>
      <c r="CA46" s="692">
        <f t="shared" si="10"/>
        <v>0.2325842696629091</v>
      </c>
      <c r="CB46" s="452">
        <v>4206</v>
      </c>
      <c r="CC46" s="452"/>
      <c r="CD46" s="385"/>
      <c r="CH46" s="452"/>
      <c r="CI46" s="421">
        <v>45352</v>
      </c>
      <c r="CJ46" s="452"/>
      <c r="CK46" s="452">
        <v>0</v>
      </c>
      <c r="CL46" s="527">
        <f t="shared" si="17"/>
        <v>0</v>
      </c>
      <c r="CM46" s="476">
        <v>8071</v>
      </c>
      <c r="CN46" s="452"/>
      <c r="CO46" s="452"/>
      <c r="CR46" s="399" t="s">
        <v>310</v>
      </c>
      <c r="CS46" s="426"/>
      <c r="CT46" s="408">
        <v>45530</v>
      </c>
      <c r="CU46" s="385">
        <v>100</v>
      </c>
      <c r="CV46" s="385"/>
      <c r="CW46" s="429">
        <f t="shared" si="31"/>
        <v>-33.315789473684212</v>
      </c>
      <c r="CX46" s="385">
        <v>6160</v>
      </c>
      <c r="CY46" s="385" t="s">
        <v>591</v>
      </c>
      <c r="CZ46" s="385" t="s">
        <v>417</v>
      </c>
      <c r="DD46" s="426">
        <v>0.60069444444444442</v>
      </c>
      <c r="DE46" s="408">
        <v>45917</v>
      </c>
      <c r="DF46" s="385">
        <v>25</v>
      </c>
      <c r="DG46" s="385">
        <v>6509</v>
      </c>
      <c r="DH46" s="651">
        <f t="shared" si="40"/>
        <v>0</v>
      </c>
      <c r="DI46" s="385">
        <v>10951</v>
      </c>
      <c r="DJ46" s="385" t="s">
        <v>168</v>
      </c>
      <c r="DK46" s="385" t="s">
        <v>581</v>
      </c>
      <c r="DN46" s="399" t="s">
        <v>285</v>
      </c>
      <c r="DO46" s="426">
        <v>0.35486111111111113</v>
      </c>
      <c r="DP46" s="408">
        <v>45556</v>
      </c>
      <c r="DQ46" s="385">
        <v>320</v>
      </c>
      <c r="DR46" s="385">
        <v>850</v>
      </c>
      <c r="DS46" s="402">
        <f t="shared" si="2"/>
        <v>6.4285714285714279E-2</v>
      </c>
      <c r="DT46" s="385">
        <v>8585</v>
      </c>
      <c r="DU46" s="402" t="s">
        <v>46</v>
      </c>
      <c r="DV46" s="385" t="s">
        <v>390</v>
      </c>
      <c r="DX46" s="442" t="s">
        <v>286</v>
      </c>
      <c r="DY46" s="426">
        <v>0.36666666666666664</v>
      </c>
      <c r="DZ46" s="408">
        <v>45810</v>
      </c>
      <c r="EA46" s="385">
        <v>321</v>
      </c>
      <c r="EB46" s="385"/>
      <c r="EC46" s="720">
        <f t="shared" si="3"/>
        <v>-8.2205882352941178</v>
      </c>
      <c r="ED46" s="385">
        <v>9412</v>
      </c>
      <c r="EE46" s="385" t="s">
        <v>308</v>
      </c>
      <c r="EF46" s="385" t="s">
        <v>582</v>
      </c>
      <c r="EG46" s="470"/>
      <c r="EJ46" s="722" t="s">
        <v>564</v>
      </c>
      <c r="EK46" s="722"/>
      <c r="EL46" s="385">
        <f>EL47+250</f>
        <v>772</v>
      </c>
      <c r="EM46" s="355"/>
      <c r="EX46" s="426">
        <v>0.54375000000000007</v>
      </c>
      <c r="EY46" s="408">
        <v>45246</v>
      </c>
      <c r="EZ46" s="385">
        <v>73</v>
      </c>
      <c r="FA46" s="385"/>
      <c r="FB46" s="385"/>
      <c r="FC46" s="385">
        <v>7000</v>
      </c>
      <c r="FD46" s="385"/>
      <c r="FE46" s="385"/>
      <c r="FG46" s="409" t="s">
        <v>289</v>
      </c>
      <c r="FH46" s="426">
        <v>0.40694444444444444</v>
      </c>
      <c r="FI46" s="408">
        <v>45993</v>
      </c>
      <c r="FJ46" s="385">
        <v>101</v>
      </c>
      <c r="FK46" s="539">
        <v>873</v>
      </c>
      <c r="FL46" s="511">
        <f t="shared" si="32"/>
        <v>18</v>
      </c>
      <c r="FM46" s="385">
        <v>11268</v>
      </c>
      <c r="FN46" s="385" t="s">
        <v>117</v>
      </c>
      <c r="FO46" s="385" t="s">
        <v>408</v>
      </c>
      <c r="FS46" s="426">
        <v>0.3611111111111111</v>
      </c>
      <c r="FT46" s="408">
        <v>45523</v>
      </c>
      <c r="FU46" s="385">
        <v>58</v>
      </c>
      <c r="FV46" s="385">
        <v>2696</v>
      </c>
      <c r="FW46" s="630">
        <f t="shared" si="37"/>
        <v>89.86666666666666</v>
      </c>
      <c r="FX46" s="385">
        <v>8561</v>
      </c>
      <c r="FY46" s="385" t="s">
        <v>584</v>
      </c>
      <c r="FZ46" s="385" t="s">
        <v>351</v>
      </c>
      <c r="GN46" s="426">
        <v>0.71111111111111114</v>
      </c>
      <c r="GO46" s="408">
        <v>45953</v>
      </c>
      <c r="GP46" s="385">
        <v>48</v>
      </c>
      <c r="GQ46" s="385">
        <v>5378</v>
      </c>
      <c r="GR46" s="662">
        <f t="shared" si="34"/>
        <v>18</v>
      </c>
      <c r="GS46" s="385">
        <v>11582</v>
      </c>
      <c r="GT46" s="385" t="s">
        <v>69</v>
      </c>
      <c r="GU46" s="385" t="s">
        <v>594</v>
      </c>
      <c r="GV46" s="658" t="s">
        <v>325</v>
      </c>
      <c r="GX46" s="419" t="s">
        <v>290</v>
      </c>
      <c r="GY46" s="700"/>
      <c r="GZ46" s="701">
        <v>46073</v>
      </c>
      <c r="HA46" s="539">
        <v>70</v>
      </c>
      <c r="HB46" s="539">
        <v>3527</v>
      </c>
      <c r="HC46" s="539">
        <f t="shared" si="29"/>
        <v>43</v>
      </c>
      <c r="HD46" s="539">
        <v>9733</v>
      </c>
      <c r="HE46" s="539" t="s">
        <v>555</v>
      </c>
      <c r="HF46" s="539" t="s">
        <v>80</v>
      </c>
      <c r="KX46" s="408"/>
      <c r="KY46" s="385"/>
      <c r="KZ46" s="385"/>
      <c r="LA46" s="407" t="e">
        <f t="shared" si="38"/>
        <v>#DIV/0!</v>
      </c>
      <c r="LB46" s="385"/>
      <c r="LD46" s="442"/>
      <c r="LE46" s="408"/>
      <c r="LF46" s="385"/>
      <c r="LG46" s="385"/>
      <c r="LH46" s="407" t="e">
        <f t="shared" si="36"/>
        <v>#DIV/0!</v>
      </c>
      <c r="LI46" s="385"/>
    </row>
    <row r="47" spans="2:321" ht="15.75" customHeight="1" x14ac:dyDescent="0.25">
      <c r="B47" s="467" t="s">
        <v>282</v>
      </c>
      <c r="C47" s="467"/>
      <c r="D47" s="421">
        <v>46083</v>
      </c>
      <c r="E47" s="452">
        <v>82</v>
      </c>
      <c r="F47" s="452"/>
      <c r="G47" s="452">
        <v>13349</v>
      </c>
      <c r="H47" s="452" t="s">
        <v>64</v>
      </c>
      <c r="I47" s="354"/>
      <c r="Q47" s="409" t="s">
        <v>86</v>
      </c>
      <c r="R47" s="426">
        <v>0.69166666666666665</v>
      </c>
      <c r="S47" s="408">
        <v>45985</v>
      </c>
      <c r="T47" s="385">
        <v>32</v>
      </c>
      <c r="U47" s="385">
        <v>993</v>
      </c>
      <c r="V47" s="456">
        <f t="shared" si="39"/>
        <v>3</v>
      </c>
      <c r="W47" s="385">
        <v>11085</v>
      </c>
      <c r="X47" s="385" t="s">
        <v>388</v>
      </c>
      <c r="Y47" s="385" t="s">
        <v>555</v>
      </c>
      <c r="AB47" s="355"/>
      <c r="AC47" s="355"/>
      <c r="AD47" s="355"/>
      <c r="AE47" s="355"/>
      <c r="AF47" s="355"/>
      <c r="AG47" s="355"/>
      <c r="AH47" s="355"/>
      <c r="AI47" s="355"/>
      <c r="AJ47" s="355"/>
      <c r="AK47" s="355"/>
      <c r="AX47" s="355"/>
      <c r="AY47" s="355"/>
      <c r="AZ47" s="355"/>
      <c r="BA47" s="356"/>
      <c r="BB47" s="357"/>
      <c r="BC47" s="357"/>
      <c r="BD47" s="355"/>
      <c r="BE47" s="355"/>
      <c r="BF47" s="355"/>
      <c r="BG47" s="355"/>
      <c r="BH47" s="355"/>
      <c r="BI47" s="355"/>
      <c r="BK47" s="385"/>
      <c r="BL47" s="426">
        <v>0.74930555555555556</v>
      </c>
      <c r="BM47" s="408">
        <v>45191</v>
      </c>
      <c r="BN47" s="385">
        <v>100</v>
      </c>
      <c r="BO47" s="385">
        <v>8539</v>
      </c>
      <c r="BP47" s="402">
        <f t="shared" si="9"/>
        <v>0.24742268041237114</v>
      </c>
      <c r="BQ47" s="440">
        <v>5811</v>
      </c>
      <c r="BR47" s="385"/>
      <c r="BS47" s="385"/>
      <c r="BT47" s="385"/>
      <c r="BU47" s="355"/>
      <c r="BV47" s="717" t="s">
        <v>306</v>
      </c>
      <c r="BW47" s="426">
        <v>0.34583333333333338</v>
      </c>
      <c r="BX47" s="408">
        <v>45187</v>
      </c>
      <c r="BY47" s="385">
        <v>30</v>
      </c>
      <c r="BZ47" s="385">
        <v>9327.5</v>
      </c>
      <c r="CA47" s="692">
        <f t="shared" si="10"/>
        <v>3.8679245283022301E-2</v>
      </c>
      <c r="CB47" s="723">
        <v>4216</v>
      </c>
      <c r="CC47" s="385"/>
      <c r="CD47" s="385"/>
      <c r="CG47" s="442" t="s">
        <v>307</v>
      </c>
      <c r="CH47" s="426">
        <v>0.46666666666666667</v>
      </c>
      <c r="CI47" s="408">
        <v>45421</v>
      </c>
      <c r="CJ47" s="385">
        <v>128</v>
      </c>
      <c r="CK47" s="385">
        <v>1192</v>
      </c>
      <c r="CL47" s="527" t="e">
        <f t="shared" si="17"/>
        <v>#DIV/0!</v>
      </c>
      <c r="CM47" s="440">
        <v>5634</v>
      </c>
      <c r="CN47" s="385"/>
      <c r="CO47" s="385"/>
      <c r="CS47" s="451">
        <v>0.75277777777777777</v>
      </c>
      <c r="CT47" s="421">
        <v>45530</v>
      </c>
      <c r="CU47" s="452">
        <v>110</v>
      </c>
      <c r="CV47" s="452"/>
      <c r="CW47" s="429">
        <f t="shared" si="31"/>
        <v>0</v>
      </c>
      <c r="CX47" s="452">
        <v>6587</v>
      </c>
      <c r="CY47" s="452" t="s">
        <v>591</v>
      </c>
      <c r="CZ47" s="452" t="s">
        <v>417</v>
      </c>
      <c r="DD47" s="451">
        <v>0.61041666666666672</v>
      </c>
      <c r="DE47" s="421">
        <v>45919</v>
      </c>
      <c r="DF47" s="452">
        <v>33</v>
      </c>
      <c r="DG47" s="452">
        <v>6509</v>
      </c>
      <c r="DH47" s="713">
        <f t="shared" si="40"/>
        <v>0</v>
      </c>
      <c r="DI47" s="452">
        <v>10967</v>
      </c>
      <c r="DJ47" s="452" t="s">
        <v>168</v>
      </c>
      <c r="DK47" s="452" t="s">
        <v>581</v>
      </c>
      <c r="DO47" s="451"/>
      <c r="DP47" s="421">
        <v>45469</v>
      </c>
      <c r="DQ47" s="452">
        <v>301</v>
      </c>
      <c r="DR47" s="452">
        <v>872</v>
      </c>
      <c r="DS47" s="402">
        <f t="shared" si="2"/>
        <v>6.8750000000000006E-2</v>
      </c>
      <c r="DT47" s="452">
        <v>9113</v>
      </c>
      <c r="DU47" s="402" t="s">
        <v>46</v>
      </c>
      <c r="DV47" s="452" t="s">
        <v>390</v>
      </c>
      <c r="DY47" s="426">
        <v>0.55763888888888891</v>
      </c>
      <c r="DZ47" s="408">
        <v>45813</v>
      </c>
      <c r="EA47" s="385">
        <v>179</v>
      </c>
      <c r="EB47" s="385">
        <v>1152</v>
      </c>
      <c r="EC47" s="720">
        <f t="shared" si="3"/>
        <v>3.5887850467289719</v>
      </c>
      <c r="ED47" s="385">
        <v>10015</v>
      </c>
      <c r="EE47" s="385" t="s">
        <v>308</v>
      </c>
      <c r="EF47" s="385" t="s">
        <v>582</v>
      </c>
      <c r="EG47" s="470"/>
      <c r="EJ47" s="722" t="s">
        <v>564</v>
      </c>
      <c r="EK47" s="722"/>
      <c r="EL47" s="385">
        <v>522</v>
      </c>
      <c r="EW47" s="419" t="s">
        <v>63</v>
      </c>
      <c r="EX47" s="426">
        <v>0.45833333333333331</v>
      </c>
      <c r="EY47" s="408">
        <v>45251</v>
      </c>
      <c r="EZ47" s="385">
        <v>60</v>
      </c>
      <c r="FA47" s="385"/>
      <c r="FB47" s="385"/>
      <c r="FC47" s="385">
        <v>7034</v>
      </c>
      <c r="FD47" s="385"/>
      <c r="FE47" s="385"/>
      <c r="FH47" s="451">
        <v>0.36875000000000002</v>
      </c>
      <c r="FI47" s="421">
        <v>45995</v>
      </c>
      <c r="FJ47" s="452">
        <v>107</v>
      </c>
      <c r="FK47" s="386">
        <v>894</v>
      </c>
      <c r="FL47" s="511">
        <f t="shared" si="32"/>
        <v>21</v>
      </c>
      <c r="FM47" s="452">
        <v>11284</v>
      </c>
      <c r="FN47" s="452" t="s">
        <v>117</v>
      </c>
      <c r="FO47" s="452" t="s">
        <v>408</v>
      </c>
      <c r="FR47" s="509" t="s">
        <v>288</v>
      </c>
      <c r="FS47" s="451">
        <v>0.61736111111111114</v>
      </c>
      <c r="FT47" s="421">
        <v>45526</v>
      </c>
      <c r="FU47" s="452">
        <v>68</v>
      </c>
      <c r="FV47" s="452">
        <v>2715</v>
      </c>
      <c r="FW47" s="644">
        <f t="shared" si="37"/>
        <v>90.5</v>
      </c>
      <c r="FX47" s="452">
        <v>6561</v>
      </c>
      <c r="FY47" s="452" t="s">
        <v>584</v>
      </c>
      <c r="FZ47" s="452" t="s">
        <v>351</v>
      </c>
      <c r="GM47" s="419" t="s">
        <v>321</v>
      </c>
      <c r="GN47" s="426">
        <v>0.78472222222222221</v>
      </c>
      <c r="GO47" s="408">
        <v>45964</v>
      </c>
      <c r="GP47" s="385">
        <v>67</v>
      </c>
      <c r="GQ47" s="385">
        <v>5400</v>
      </c>
      <c r="GR47" s="662">
        <f t="shared" si="34"/>
        <v>22</v>
      </c>
      <c r="GS47" s="385">
        <v>11006</v>
      </c>
      <c r="GT47" s="385" t="s">
        <v>69</v>
      </c>
      <c r="GU47" s="385" t="s">
        <v>594</v>
      </c>
      <c r="GX47" s="419" t="s">
        <v>290</v>
      </c>
      <c r="GY47" s="700">
        <v>0.59722222222222221</v>
      </c>
      <c r="GZ47" s="701">
        <v>46080</v>
      </c>
      <c r="HA47" s="539">
        <v>73</v>
      </c>
      <c r="HB47" s="539">
        <v>3553</v>
      </c>
      <c r="HC47" s="539">
        <f t="shared" si="29"/>
        <v>26</v>
      </c>
      <c r="HD47" s="539">
        <v>13330</v>
      </c>
      <c r="HE47" s="539" t="s">
        <v>555</v>
      </c>
      <c r="HF47" s="539"/>
      <c r="KW47" s="442"/>
      <c r="KX47" s="408"/>
      <c r="KY47" s="385"/>
      <c r="KZ47" s="385"/>
      <c r="LA47" s="407" t="e">
        <f t="shared" si="38"/>
        <v>#DIV/0!</v>
      </c>
      <c r="LB47" s="385"/>
      <c r="LD47" s="442"/>
      <c r="LE47" s="408"/>
      <c r="LF47" s="385"/>
      <c r="LG47" s="385"/>
      <c r="LH47" s="407" t="e">
        <f t="shared" si="36"/>
        <v>#DIV/0!</v>
      </c>
      <c r="LI47" s="385"/>
    </row>
    <row r="48" spans="2:321" ht="15.75" customHeight="1" x14ac:dyDescent="0.25">
      <c r="B48" s="467" t="s">
        <v>596</v>
      </c>
      <c r="C48" s="467"/>
      <c r="D48" s="421">
        <v>46084</v>
      </c>
      <c r="E48" s="452">
        <v>72</v>
      </c>
      <c r="F48" s="452">
        <v>19011</v>
      </c>
      <c r="G48" s="452">
        <v>11315</v>
      </c>
      <c r="H48" s="452" t="s">
        <v>304</v>
      </c>
      <c r="I48" s="354"/>
      <c r="Q48" s="409" t="s">
        <v>86</v>
      </c>
      <c r="R48" s="426">
        <v>0.57499999999999996</v>
      </c>
      <c r="S48" s="408">
        <v>45993</v>
      </c>
      <c r="T48" s="385">
        <v>28</v>
      </c>
      <c r="U48" s="385">
        <v>1006</v>
      </c>
      <c r="V48" s="456">
        <f t="shared" si="39"/>
        <v>13</v>
      </c>
      <c r="W48" s="385">
        <v>11271</v>
      </c>
      <c r="X48" s="385" t="s">
        <v>388</v>
      </c>
      <c r="Y48" s="385" t="s">
        <v>555</v>
      </c>
      <c r="AB48" s="355"/>
      <c r="AC48" s="355"/>
      <c r="AD48" s="355"/>
      <c r="AE48" s="355"/>
      <c r="AF48" s="355"/>
      <c r="AG48" s="355"/>
      <c r="AH48" s="355"/>
      <c r="AI48" s="355"/>
      <c r="AJ48" s="355"/>
      <c r="AK48" s="355"/>
      <c r="AX48" s="355"/>
      <c r="AY48" s="355"/>
      <c r="AZ48" s="355"/>
      <c r="BA48" s="356"/>
      <c r="BB48" s="357"/>
      <c r="BC48" s="357"/>
      <c r="BD48" s="355"/>
      <c r="BE48" s="355"/>
      <c r="BF48" s="355"/>
      <c r="BG48" s="355"/>
      <c r="BH48" s="355"/>
      <c r="BI48" s="355"/>
      <c r="BK48" s="385" t="s">
        <v>503</v>
      </c>
      <c r="BL48" s="426">
        <v>0.6430555555555556</v>
      </c>
      <c r="BM48" s="408">
        <v>45195</v>
      </c>
      <c r="BN48" s="385">
        <v>104</v>
      </c>
      <c r="BO48" s="385">
        <v>8560</v>
      </c>
      <c r="BP48" s="402">
        <f t="shared" si="9"/>
        <v>0.21</v>
      </c>
      <c r="BQ48" s="440">
        <v>5835</v>
      </c>
      <c r="BR48" s="385"/>
      <c r="BS48" s="385"/>
      <c r="BT48" s="385"/>
      <c r="BU48" s="355"/>
      <c r="BW48" s="452"/>
      <c r="BX48" s="421">
        <v>45190</v>
      </c>
      <c r="BY48" s="452">
        <v>97</v>
      </c>
      <c r="BZ48" s="452">
        <v>9345</v>
      </c>
      <c r="CA48" s="692">
        <f t="shared" si="10"/>
        <v>0.58333333333333337</v>
      </c>
      <c r="CB48" s="452">
        <v>5798</v>
      </c>
      <c r="CC48" s="452"/>
      <c r="CD48" s="385"/>
      <c r="CH48" s="426">
        <v>0.62083333333333335</v>
      </c>
      <c r="CI48" s="408">
        <v>45425</v>
      </c>
      <c r="CJ48" s="385">
        <v>188</v>
      </c>
      <c r="CK48" s="385">
        <v>1217</v>
      </c>
      <c r="CL48" s="527">
        <f t="shared" si="17"/>
        <v>0.1953125</v>
      </c>
      <c r="CM48" s="440">
        <v>5722</v>
      </c>
      <c r="CN48" s="385"/>
      <c r="CO48" s="385"/>
      <c r="CR48" s="399" t="s">
        <v>310</v>
      </c>
      <c r="CS48" s="426">
        <v>0.46111111111111114</v>
      </c>
      <c r="CT48" s="421">
        <v>45535</v>
      </c>
      <c r="CU48" s="385">
        <v>192</v>
      </c>
      <c r="CV48" s="385">
        <v>6388</v>
      </c>
      <c r="CW48" s="429">
        <f t="shared" si="31"/>
        <v>58.072727272727271</v>
      </c>
      <c r="CX48" s="385">
        <v>9032</v>
      </c>
      <c r="CY48" s="385" t="s">
        <v>67</v>
      </c>
      <c r="CZ48" s="385" t="s">
        <v>408</v>
      </c>
      <c r="DC48" s="409" t="s">
        <v>115</v>
      </c>
      <c r="DD48" s="426">
        <v>0.48402777777777778</v>
      </c>
      <c r="DE48" s="408">
        <v>45926</v>
      </c>
      <c r="DF48" s="385">
        <v>20</v>
      </c>
      <c r="DG48" s="385">
        <v>6565</v>
      </c>
      <c r="DH48" s="651">
        <f t="shared" si="40"/>
        <v>56</v>
      </c>
      <c r="DI48" s="385">
        <v>10900</v>
      </c>
      <c r="DJ48" s="385" t="s">
        <v>168</v>
      </c>
      <c r="DK48" s="385" t="s">
        <v>581</v>
      </c>
      <c r="DN48" s="399" t="s">
        <v>285</v>
      </c>
      <c r="DO48" s="426">
        <v>0.68402777777777779</v>
      </c>
      <c r="DP48" s="408">
        <v>45563</v>
      </c>
      <c r="DQ48" s="385">
        <v>220</v>
      </c>
      <c r="DR48" s="385">
        <v>888</v>
      </c>
      <c r="DS48" s="402">
        <f t="shared" si="2"/>
        <v>5.3156146179401995E-2</v>
      </c>
      <c r="DT48" s="385">
        <v>9133</v>
      </c>
      <c r="DU48" s="402" t="s">
        <v>76</v>
      </c>
      <c r="DV48" s="385" t="s">
        <v>390</v>
      </c>
      <c r="DX48" s="442" t="s">
        <v>286</v>
      </c>
      <c r="DY48" s="426">
        <v>0.375</v>
      </c>
      <c r="DZ48" s="408">
        <v>45817</v>
      </c>
      <c r="EA48" s="385">
        <v>200</v>
      </c>
      <c r="EB48" s="385">
        <v>1163</v>
      </c>
      <c r="EC48" s="720">
        <f t="shared" si="3"/>
        <v>6.1452513966480445E-2</v>
      </c>
      <c r="ED48" s="385">
        <v>10062</v>
      </c>
      <c r="EE48" s="385" t="s">
        <v>308</v>
      </c>
      <c r="EF48" s="385" t="s">
        <v>582</v>
      </c>
      <c r="EG48" s="470"/>
      <c r="EX48" s="426">
        <v>0.52083333333333337</v>
      </c>
      <c r="EY48" s="408">
        <v>45254</v>
      </c>
      <c r="EZ48" s="385">
        <v>94</v>
      </c>
      <c r="FA48" s="385"/>
      <c r="FB48" s="385"/>
      <c r="FC48" s="385">
        <v>7079</v>
      </c>
      <c r="FD48" s="385"/>
      <c r="FE48" s="385"/>
      <c r="FG48" s="409" t="s">
        <v>289</v>
      </c>
      <c r="FH48" s="426">
        <v>0.39305555555555555</v>
      </c>
      <c r="FI48" s="408">
        <v>45997</v>
      </c>
      <c r="FJ48" s="385">
        <v>105</v>
      </c>
      <c r="FK48" s="539">
        <v>913</v>
      </c>
      <c r="FL48" s="511">
        <f t="shared" si="32"/>
        <v>19</v>
      </c>
      <c r="FM48" s="385">
        <v>11204</v>
      </c>
      <c r="FN48" s="385" t="s">
        <v>117</v>
      </c>
      <c r="FO48" s="385" t="s">
        <v>408</v>
      </c>
      <c r="FR48" s="509" t="s">
        <v>288</v>
      </c>
      <c r="FS48" s="426">
        <v>0.60763888888888884</v>
      </c>
      <c r="FT48" s="408">
        <v>45530</v>
      </c>
      <c r="FU48" s="385">
        <v>66</v>
      </c>
      <c r="FV48" s="385">
        <v>2729</v>
      </c>
      <c r="FW48" s="630">
        <f t="shared" si="37"/>
        <v>0.56896551724137934</v>
      </c>
      <c r="FX48" s="385">
        <v>6584</v>
      </c>
      <c r="FY48" s="385" t="s">
        <v>597</v>
      </c>
      <c r="FZ48" s="385" t="s">
        <v>351</v>
      </c>
      <c r="GM48" s="419" t="s">
        <v>321</v>
      </c>
      <c r="GN48" s="426">
        <v>0.47222222222222221</v>
      </c>
      <c r="GO48" s="408">
        <v>45971</v>
      </c>
      <c r="GP48" s="385">
        <v>39</v>
      </c>
      <c r="GQ48" s="385">
        <v>5417</v>
      </c>
      <c r="GR48" s="662">
        <f t="shared" si="34"/>
        <v>17</v>
      </c>
      <c r="GS48" s="385">
        <v>11153</v>
      </c>
      <c r="GT48" s="385" t="s">
        <v>69</v>
      </c>
      <c r="GU48" s="385" t="s">
        <v>594</v>
      </c>
      <c r="GX48" s="419" t="s">
        <v>290</v>
      </c>
      <c r="GY48" s="700">
        <v>0.69097222222222221</v>
      </c>
      <c r="GZ48" s="701">
        <v>46084</v>
      </c>
      <c r="HA48" s="539">
        <v>41</v>
      </c>
      <c r="HB48" s="539">
        <v>3661</v>
      </c>
      <c r="HC48" s="539">
        <f t="shared" si="29"/>
        <v>108</v>
      </c>
      <c r="HD48" s="539">
        <v>11316</v>
      </c>
      <c r="HE48" s="539" t="s">
        <v>555</v>
      </c>
      <c r="HF48" s="539"/>
      <c r="KW48" s="442"/>
      <c r="KX48" s="408"/>
      <c r="KY48" s="385"/>
      <c r="KZ48" s="385"/>
      <c r="LA48" s="407" t="e">
        <f t="shared" si="38"/>
        <v>#DIV/0!</v>
      </c>
      <c r="LB48" s="385"/>
      <c r="LE48" s="408"/>
      <c r="LF48" s="385"/>
      <c r="LG48" s="385"/>
      <c r="LH48" s="407" t="e">
        <f t="shared" si="36"/>
        <v>#DIV/0!</v>
      </c>
      <c r="LI48" s="385"/>
    </row>
    <row r="49" spans="2:314" ht="15.75" customHeight="1" x14ac:dyDescent="0.25">
      <c r="B49" s="467" t="s">
        <v>282</v>
      </c>
      <c r="C49" s="467"/>
      <c r="D49" s="421">
        <v>46090</v>
      </c>
      <c r="E49" s="452">
        <v>19</v>
      </c>
      <c r="F49" s="452"/>
      <c r="G49" s="452">
        <v>11345</v>
      </c>
      <c r="H49" s="452" t="s">
        <v>64</v>
      </c>
      <c r="R49" s="426">
        <v>0.69930555555555551</v>
      </c>
      <c r="S49" s="408">
        <v>45996</v>
      </c>
      <c r="T49" s="385">
        <v>45</v>
      </c>
      <c r="U49" s="385">
        <v>1029</v>
      </c>
      <c r="V49" s="456">
        <f t="shared" si="39"/>
        <v>23</v>
      </c>
      <c r="W49" s="385">
        <v>11298</v>
      </c>
      <c r="X49" s="385" t="s">
        <v>388</v>
      </c>
      <c r="Y49" s="385" t="s">
        <v>555</v>
      </c>
      <c r="AB49" s="355"/>
      <c r="AC49" s="355"/>
      <c r="AD49" s="355"/>
      <c r="AE49" s="355"/>
      <c r="AF49" s="355"/>
      <c r="AG49" s="355"/>
      <c r="AH49" s="355"/>
      <c r="AI49" s="355"/>
      <c r="AJ49" s="355"/>
      <c r="AK49" s="355"/>
      <c r="AX49" s="355"/>
      <c r="AY49" s="355"/>
      <c r="AZ49" s="355"/>
      <c r="BA49" s="356"/>
      <c r="BB49" s="357"/>
      <c r="BC49" s="357"/>
      <c r="BD49" s="355"/>
      <c r="BE49" s="355"/>
      <c r="BF49" s="355"/>
      <c r="BG49" s="355"/>
      <c r="BH49" s="355"/>
      <c r="BI49" s="355"/>
      <c r="BK49" s="385"/>
      <c r="BL49" s="451">
        <v>0.41666666666666669</v>
      </c>
      <c r="BM49" s="421">
        <v>45198</v>
      </c>
      <c r="BN49" s="452">
        <v>80</v>
      </c>
      <c r="BO49" s="452">
        <v>8580</v>
      </c>
      <c r="BP49" s="402">
        <f t="shared" si="9"/>
        <v>0.19230769230769232</v>
      </c>
      <c r="BQ49" s="476">
        <v>5871</v>
      </c>
      <c r="BR49" s="452"/>
      <c r="BS49" s="452"/>
      <c r="BT49" s="385"/>
      <c r="BU49" s="355"/>
      <c r="BV49" s="717" t="s">
        <v>306</v>
      </c>
      <c r="BW49" s="426">
        <v>0.64236111111111105</v>
      </c>
      <c r="BX49" s="408">
        <v>45194</v>
      </c>
      <c r="BY49" s="385">
        <v>80</v>
      </c>
      <c r="BZ49" s="385">
        <v>9359.9</v>
      </c>
      <c r="CA49" s="692">
        <f t="shared" si="10"/>
        <v>0.15360824742267667</v>
      </c>
      <c r="CB49" s="385">
        <v>5827</v>
      </c>
      <c r="CC49" s="385"/>
      <c r="CD49" s="385"/>
      <c r="CH49" s="451">
        <v>0.70763888888888893</v>
      </c>
      <c r="CI49" s="421">
        <v>45427</v>
      </c>
      <c r="CJ49" s="452">
        <v>164</v>
      </c>
      <c r="CK49" s="452"/>
      <c r="CL49" s="527">
        <f t="shared" si="17"/>
        <v>-6.4734042553191493</v>
      </c>
      <c r="CM49" s="476">
        <v>5743</v>
      </c>
      <c r="CN49" s="452"/>
      <c r="CO49" s="452"/>
      <c r="CS49" s="451">
        <v>0.34375</v>
      </c>
      <c r="CT49" s="421">
        <v>45538</v>
      </c>
      <c r="CU49" s="452">
        <v>112</v>
      </c>
      <c r="CV49" s="452">
        <v>6399</v>
      </c>
      <c r="CW49" s="429">
        <f t="shared" si="31"/>
        <v>5.7291666666666664E-2</v>
      </c>
      <c r="CX49" s="452">
        <v>9040</v>
      </c>
      <c r="CY49" s="452" t="s">
        <v>67</v>
      </c>
      <c r="CZ49" s="452" t="s">
        <v>408</v>
      </c>
      <c r="DC49" s="409" t="s">
        <v>115</v>
      </c>
      <c r="DD49" s="426">
        <v>0.80486111111111114</v>
      </c>
      <c r="DE49" s="408">
        <v>45932</v>
      </c>
      <c r="DF49" s="385">
        <v>10</v>
      </c>
      <c r="DG49" s="385">
        <v>6569</v>
      </c>
      <c r="DH49" s="651">
        <f t="shared" si="40"/>
        <v>4</v>
      </c>
      <c r="DI49" s="385">
        <v>10938</v>
      </c>
      <c r="DJ49" s="385" t="s">
        <v>168</v>
      </c>
      <c r="DK49" s="385" t="s">
        <v>581</v>
      </c>
      <c r="DO49" s="645">
        <v>5.6944444444444443E-2</v>
      </c>
      <c r="DP49" s="566">
        <v>45567</v>
      </c>
      <c r="DQ49" s="348">
        <v>320</v>
      </c>
      <c r="DR49" s="385">
        <v>903</v>
      </c>
      <c r="DS49" s="402">
        <f t="shared" si="2"/>
        <v>6.8181818181818177E-2</v>
      </c>
      <c r="DT49" s="385">
        <v>11103</v>
      </c>
      <c r="DU49" s="402" t="s">
        <v>108</v>
      </c>
      <c r="DV49" s="385" t="s">
        <v>390</v>
      </c>
      <c r="DY49" s="426">
        <v>0.58333333333333337</v>
      </c>
      <c r="DZ49" s="408">
        <v>45818</v>
      </c>
      <c r="EA49" s="385">
        <v>300</v>
      </c>
      <c r="EB49" s="385">
        <v>1175</v>
      </c>
      <c r="EC49" s="720">
        <f t="shared" si="3"/>
        <v>0.06</v>
      </c>
      <c r="ED49" s="385">
        <v>10070</v>
      </c>
      <c r="EE49" s="385" t="s">
        <v>308</v>
      </c>
      <c r="EF49" s="385" t="s">
        <v>582</v>
      </c>
      <c r="EG49" s="470"/>
      <c r="EW49" s="419" t="s">
        <v>63</v>
      </c>
      <c r="EX49" s="426">
        <v>0.39861111111111108</v>
      </c>
      <c r="EY49" s="408">
        <v>45257</v>
      </c>
      <c r="EZ49" s="385">
        <v>78</v>
      </c>
      <c r="FA49" s="385"/>
      <c r="FB49" s="385"/>
      <c r="FC49" s="385">
        <v>7102</v>
      </c>
      <c r="FD49" s="385"/>
      <c r="FE49" s="385"/>
      <c r="FG49" s="409" t="s">
        <v>289</v>
      </c>
      <c r="FH49" s="426">
        <v>0.55625000000000002</v>
      </c>
      <c r="FI49" s="408">
        <v>46060</v>
      </c>
      <c r="FJ49" s="385">
        <v>47</v>
      </c>
      <c r="FK49" s="539">
        <v>961</v>
      </c>
      <c r="FL49" s="511">
        <f t="shared" si="32"/>
        <v>48</v>
      </c>
      <c r="FM49" s="385">
        <v>10525</v>
      </c>
      <c r="FN49" s="385" t="s">
        <v>174</v>
      </c>
      <c r="FO49" s="385" t="s">
        <v>90</v>
      </c>
      <c r="FS49" s="451">
        <v>0.55347222222222225</v>
      </c>
      <c r="FT49" s="421">
        <v>45533</v>
      </c>
      <c r="FU49" s="452">
        <v>56</v>
      </c>
      <c r="FV49" s="452">
        <v>2746</v>
      </c>
      <c r="FW49" s="644">
        <f t="shared" si="37"/>
        <v>0.45588235294117646</v>
      </c>
      <c r="FX49" s="452">
        <v>9015</v>
      </c>
      <c r="FY49" s="452" t="s">
        <v>597</v>
      </c>
      <c r="FZ49" s="452" t="s">
        <v>351</v>
      </c>
      <c r="GM49" s="419" t="s">
        <v>321</v>
      </c>
      <c r="GN49" s="426"/>
      <c r="GO49" s="408">
        <v>45982</v>
      </c>
      <c r="GP49" s="385">
        <v>66</v>
      </c>
      <c r="GQ49" s="385">
        <v>5444</v>
      </c>
      <c r="GR49" s="662">
        <f t="shared" si="34"/>
        <v>27</v>
      </c>
      <c r="GS49" s="385">
        <v>11070</v>
      </c>
      <c r="GT49" s="385" t="s">
        <v>69</v>
      </c>
      <c r="GU49" s="385" t="s">
        <v>594</v>
      </c>
      <c r="GX49" s="419" t="s">
        <v>290</v>
      </c>
      <c r="GY49" s="724">
        <v>0.68333333333333335</v>
      </c>
      <c r="GZ49" s="725">
        <v>46099</v>
      </c>
      <c r="HA49" s="540">
        <v>52</v>
      </c>
      <c r="HB49" s="515">
        <v>3661</v>
      </c>
      <c r="HC49" s="540">
        <f t="shared" si="29"/>
        <v>0</v>
      </c>
      <c r="HD49" s="540">
        <v>12762</v>
      </c>
      <c r="HE49" s="540" t="s">
        <v>555</v>
      </c>
      <c r="HF49" s="540"/>
      <c r="KW49" s="442"/>
      <c r="KX49" s="408"/>
      <c r="KY49" s="385"/>
      <c r="KZ49" s="385"/>
      <c r="LA49" s="407" t="e">
        <f t="shared" si="38"/>
        <v>#DIV/0!</v>
      </c>
      <c r="LB49" s="385"/>
    </row>
    <row r="50" spans="2:314" ht="15.75" customHeight="1" x14ac:dyDescent="0.25">
      <c r="B50" s="467" t="s">
        <v>282</v>
      </c>
      <c r="C50" s="467"/>
      <c r="D50" s="421">
        <v>46094</v>
      </c>
      <c r="E50" s="452">
        <v>95</v>
      </c>
      <c r="F50" s="452"/>
      <c r="G50" s="452">
        <v>11770</v>
      </c>
      <c r="H50" s="452" t="s">
        <v>64</v>
      </c>
      <c r="Q50" s="409" t="s">
        <v>86</v>
      </c>
      <c r="R50" s="426">
        <v>0.69027777777777777</v>
      </c>
      <c r="S50" s="408">
        <v>45999</v>
      </c>
      <c r="T50" s="385">
        <v>20</v>
      </c>
      <c r="U50" s="471">
        <v>1029</v>
      </c>
      <c r="V50" s="456">
        <f t="shared" si="39"/>
        <v>0</v>
      </c>
      <c r="W50" s="385">
        <v>11211</v>
      </c>
      <c r="X50" s="385" t="s">
        <v>388</v>
      </c>
      <c r="Y50" s="385" t="s">
        <v>555</v>
      </c>
      <c r="AB50" s="355"/>
      <c r="AC50" s="355"/>
      <c r="AD50" s="355"/>
      <c r="AE50" s="355"/>
      <c r="AF50" s="355"/>
      <c r="AG50" s="355"/>
      <c r="AH50" s="355"/>
      <c r="AI50" s="355"/>
      <c r="AJ50" s="355"/>
      <c r="AK50" s="355"/>
      <c r="AX50" s="355"/>
      <c r="AY50" s="355"/>
      <c r="AZ50" s="355"/>
      <c r="BA50" s="356"/>
      <c r="BB50" s="357"/>
      <c r="BC50" s="357"/>
      <c r="BD50" s="355"/>
      <c r="BE50" s="355"/>
      <c r="BF50" s="355"/>
      <c r="BG50" s="355"/>
      <c r="BH50" s="355"/>
      <c r="BI50" s="355"/>
      <c r="BK50" s="385" t="s">
        <v>503</v>
      </c>
      <c r="BL50" s="451">
        <v>0.39930555555555558</v>
      </c>
      <c r="BM50" s="421">
        <v>45201</v>
      </c>
      <c r="BN50" s="452">
        <v>90</v>
      </c>
      <c r="BO50" s="452">
        <v>8588</v>
      </c>
      <c r="BP50" s="402">
        <f t="shared" si="9"/>
        <v>0.1</v>
      </c>
      <c r="BQ50" s="476">
        <v>5884</v>
      </c>
      <c r="BR50" s="452"/>
      <c r="BS50" s="452"/>
      <c r="BT50" s="385"/>
      <c r="BU50" s="355"/>
      <c r="BW50" s="426">
        <v>0.58263888888888882</v>
      </c>
      <c r="BX50" s="408">
        <v>45196</v>
      </c>
      <c r="BY50" s="385">
        <v>82</v>
      </c>
      <c r="BZ50" s="385">
        <v>9371.2000000000007</v>
      </c>
      <c r="CA50" s="692">
        <f t="shared" si="10"/>
        <v>0.14125000000001364</v>
      </c>
      <c r="CB50" s="385">
        <v>5848</v>
      </c>
      <c r="CC50" s="385"/>
      <c r="CD50" s="385"/>
      <c r="CG50" s="442" t="s">
        <v>307</v>
      </c>
      <c r="CH50" s="451">
        <v>0.41041666666666665</v>
      </c>
      <c r="CI50" s="421">
        <v>45471</v>
      </c>
      <c r="CJ50" s="452">
        <v>98</v>
      </c>
      <c r="CK50" s="452">
        <v>1244</v>
      </c>
      <c r="CL50" s="527">
        <f t="shared" si="17"/>
        <v>7.5853658536585362</v>
      </c>
      <c r="CM50" s="476">
        <v>4020</v>
      </c>
      <c r="CN50" s="452"/>
      <c r="CO50" s="452"/>
      <c r="CR50" s="399" t="s">
        <v>310</v>
      </c>
      <c r="CS50" s="426">
        <v>0.68958333333333333</v>
      </c>
      <c r="CT50" s="421">
        <v>45545</v>
      </c>
      <c r="CU50" s="385">
        <v>105</v>
      </c>
      <c r="CV50" s="385">
        <v>6414</v>
      </c>
      <c r="CW50" s="429">
        <f t="shared" si="31"/>
        <v>0.13392857142857142</v>
      </c>
      <c r="CX50" s="385">
        <v>8729</v>
      </c>
      <c r="CY50" s="385" t="s">
        <v>67</v>
      </c>
      <c r="CZ50" s="385" t="s">
        <v>408</v>
      </c>
      <c r="DC50" s="409" t="s">
        <v>115</v>
      </c>
      <c r="DD50" s="426">
        <v>0.49236111111111114</v>
      </c>
      <c r="DE50" s="408">
        <v>45937</v>
      </c>
      <c r="DF50" s="385">
        <v>20</v>
      </c>
      <c r="DG50" s="385">
        <v>6580</v>
      </c>
      <c r="DH50" s="651">
        <f t="shared" si="40"/>
        <v>11</v>
      </c>
      <c r="DI50" s="385">
        <v>10855</v>
      </c>
      <c r="DJ50" s="385" t="s">
        <v>168</v>
      </c>
      <c r="DK50" s="385" t="s">
        <v>581</v>
      </c>
      <c r="DO50" s="426">
        <v>0.3576388888888889</v>
      </c>
      <c r="DP50" s="408">
        <v>45569</v>
      </c>
      <c r="DQ50" s="385">
        <v>265</v>
      </c>
      <c r="DR50" s="385">
        <v>915</v>
      </c>
      <c r="DS50" s="402">
        <f t="shared" si="2"/>
        <v>3.7499999999999999E-2</v>
      </c>
      <c r="DT50" s="385">
        <v>9133</v>
      </c>
      <c r="DU50" s="402" t="s">
        <v>46</v>
      </c>
      <c r="DV50" s="385" t="s">
        <v>390</v>
      </c>
      <c r="DY50" s="426"/>
      <c r="DZ50" s="408">
        <v>45820</v>
      </c>
      <c r="EA50" s="385">
        <v>50</v>
      </c>
      <c r="EB50" s="385">
        <v>1191</v>
      </c>
      <c r="EC50" s="720">
        <f t="shared" si="3"/>
        <v>5.3333333333333337E-2</v>
      </c>
      <c r="ED50" s="385">
        <v>10086</v>
      </c>
      <c r="EE50" s="385" t="s">
        <v>308</v>
      </c>
      <c r="EF50" s="385" t="s">
        <v>582</v>
      </c>
      <c r="EG50" s="470"/>
      <c r="EX50" s="452"/>
      <c r="EY50" s="421">
        <v>45260</v>
      </c>
      <c r="EZ50" s="452">
        <v>38</v>
      </c>
      <c r="FA50" s="452">
        <v>4874</v>
      </c>
      <c r="FB50" s="452"/>
      <c r="FC50" s="452">
        <v>7129</v>
      </c>
      <c r="FD50" s="452"/>
      <c r="FE50" s="385"/>
      <c r="FH50" s="426">
        <v>0.3298611111111111</v>
      </c>
      <c r="FI50" s="408">
        <v>46062</v>
      </c>
      <c r="FJ50" s="385">
        <v>36</v>
      </c>
      <c r="FK50" s="539">
        <v>961</v>
      </c>
      <c r="FL50" s="511">
        <f t="shared" si="32"/>
        <v>0</v>
      </c>
      <c r="FM50" s="385">
        <v>10526</v>
      </c>
      <c r="FN50" s="385" t="s">
        <v>174</v>
      </c>
      <c r="FO50" s="385" t="s">
        <v>90</v>
      </c>
      <c r="FR50" s="509" t="s">
        <v>288</v>
      </c>
      <c r="FS50" s="451">
        <v>0.28125</v>
      </c>
      <c r="FT50" s="421">
        <v>45539</v>
      </c>
      <c r="FU50" s="452">
        <v>40</v>
      </c>
      <c r="FV50" s="452">
        <v>2756</v>
      </c>
      <c r="FW50" s="644">
        <f t="shared" si="37"/>
        <v>0.40909090909090912</v>
      </c>
      <c r="FX50" s="452">
        <v>9045</v>
      </c>
      <c r="FY50" s="452" t="s">
        <v>598</v>
      </c>
      <c r="FZ50" s="452" t="s">
        <v>395</v>
      </c>
      <c r="GM50" s="419" t="s">
        <v>321</v>
      </c>
      <c r="GN50" s="426"/>
      <c r="GO50" s="408">
        <v>45993</v>
      </c>
      <c r="GP50" s="385">
        <v>75</v>
      </c>
      <c r="GQ50" s="385">
        <v>5472</v>
      </c>
      <c r="GR50" s="662">
        <f t="shared" si="34"/>
        <v>28</v>
      </c>
      <c r="GS50" s="385">
        <v>11276</v>
      </c>
      <c r="GT50" s="385" t="s">
        <v>599</v>
      </c>
      <c r="GU50" s="385" t="s">
        <v>594</v>
      </c>
      <c r="KX50" s="408"/>
      <c r="KY50" s="385"/>
      <c r="KZ50" s="385"/>
      <c r="LA50" s="407" t="e">
        <f t="shared" si="38"/>
        <v>#DIV/0!</v>
      </c>
      <c r="LB50" s="385"/>
    </row>
    <row r="51" spans="2:314" ht="15.75" customHeight="1" x14ac:dyDescent="0.25">
      <c r="B51" s="467" t="s">
        <v>282</v>
      </c>
      <c r="C51" s="467"/>
      <c r="D51" s="408">
        <v>46100</v>
      </c>
      <c r="E51" s="385">
        <v>131</v>
      </c>
      <c r="F51" s="385"/>
      <c r="G51" s="385">
        <v>12770</v>
      </c>
      <c r="H51" s="385" t="s">
        <v>64</v>
      </c>
      <c r="Q51" s="409" t="s">
        <v>86</v>
      </c>
      <c r="R51" s="426">
        <v>0.36388888888888887</v>
      </c>
      <c r="S51" s="408">
        <v>46006</v>
      </c>
      <c r="T51" s="385">
        <v>37</v>
      </c>
      <c r="U51" s="471">
        <v>1029</v>
      </c>
      <c r="V51" s="456">
        <f t="shared" si="39"/>
        <v>0</v>
      </c>
      <c r="W51" s="385">
        <v>11105</v>
      </c>
      <c r="X51" s="385" t="s">
        <v>388</v>
      </c>
      <c r="Y51" s="385" t="s">
        <v>555</v>
      </c>
      <c r="AB51" s="355"/>
      <c r="AC51" s="355"/>
      <c r="AD51" s="355"/>
      <c r="AE51" s="355"/>
      <c r="AF51" s="355"/>
      <c r="AG51" s="355"/>
      <c r="AH51" s="355"/>
      <c r="AI51" s="355"/>
      <c r="AJ51" s="355"/>
      <c r="AK51" s="355"/>
      <c r="AX51" s="355"/>
      <c r="AY51" s="355"/>
      <c r="AZ51" s="355"/>
      <c r="BA51" s="356"/>
      <c r="BB51" s="357"/>
      <c r="BC51" s="357"/>
      <c r="BD51" s="355"/>
      <c r="BE51" s="355"/>
      <c r="BF51" s="355"/>
      <c r="BG51" s="355"/>
      <c r="BH51" s="355"/>
      <c r="BI51" s="355"/>
      <c r="BK51" s="726" t="s">
        <v>503</v>
      </c>
      <c r="BL51" s="426">
        <v>0.49722222222222223</v>
      </c>
      <c r="BM51" s="408">
        <v>45210</v>
      </c>
      <c r="BN51" s="385">
        <v>84</v>
      </c>
      <c r="BO51" s="385">
        <v>8610</v>
      </c>
      <c r="BP51" s="402">
        <f t="shared" si="9"/>
        <v>0.24444444444444444</v>
      </c>
      <c r="BQ51" s="440">
        <v>4316</v>
      </c>
      <c r="BR51" s="385"/>
      <c r="BS51" s="385"/>
      <c r="BT51" s="385"/>
      <c r="BU51" s="355"/>
      <c r="BW51" s="451">
        <v>0.53472222222222221</v>
      </c>
      <c r="BX51" s="421">
        <v>45198</v>
      </c>
      <c r="BY51" s="452">
        <v>89</v>
      </c>
      <c r="BZ51" s="452">
        <v>9385.2999999999993</v>
      </c>
      <c r="CA51" s="692">
        <f t="shared" si="10"/>
        <v>0.17195121951217737</v>
      </c>
      <c r="CB51" s="452">
        <v>5875</v>
      </c>
      <c r="CC51" s="452"/>
      <c r="CD51" s="385"/>
      <c r="CG51" s="442" t="s">
        <v>307</v>
      </c>
      <c r="CH51" s="426"/>
      <c r="CI51" s="408">
        <v>45478</v>
      </c>
      <c r="CJ51" s="385">
        <v>137</v>
      </c>
      <c r="CK51" s="385"/>
      <c r="CL51" s="527">
        <f t="shared" si="17"/>
        <v>-12.693877551020408</v>
      </c>
      <c r="CM51" s="440">
        <v>4067</v>
      </c>
      <c r="CN51" s="385"/>
      <c r="CO51" s="385"/>
      <c r="CS51" s="451">
        <v>0.45902777777777776</v>
      </c>
      <c r="CT51" s="421">
        <v>45547</v>
      </c>
      <c r="CU51" s="452">
        <v>121</v>
      </c>
      <c r="CV51" s="452">
        <v>6430</v>
      </c>
      <c r="CW51" s="429">
        <f t="shared" si="31"/>
        <v>0.15238095238095239</v>
      </c>
      <c r="CX51" s="452">
        <v>9055</v>
      </c>
      <c r="CY51" s="452" t="s">
        <v>67</v>
      </c>
      <c r="CZ51" s="452" t="s">
        <v>408</v>
      </c>
      <c r="DC51" s="409" t="s">
        <v>115</v>
      </c>
      <c r="DD51" s="426">
        <v>0.50694444444444442</v>
      </c>
      <c r="DE51" s="408">
        <v>45944</v>
      </c>
      <c r="DF51" s="385">
        <v>35</v>
      </c>
      <c r="DG51" s="385">
        <v>6595</v>
      </c>
      <c r="DH51" s="651">
        <f t="shared" si="40"/>
        <v>15</v>
      </c>
      <c r="DI51" s="385">
        <v>10874</v>
      </c>
      <c r="DJ51" s="385" t="s">
        <v>168</v>
      </c>
      <c r="DK51" s="385" t="s">
        <v>581</v>
      </c>
      <c r="DN51" s="399" t="s">
        <v>285</v>
      </c>
      <c r="DO51" s="645">
        <v>0.55069444444444449</v>
      </c>
      <c r="DP51" s="566">
        <v>45572</v>
      </c>
      <c r="DQ51" s="348">
        <v>271</v>
      </c>
      <c r="DR51" s="348">
        <v>930.2</v>
      </c>
      <c r="DS51" s="402">
        <f t="shared" si="2"/>
        <v>5.7358490566037909E-2</v>
      </c>
      <c r="DT51" s="348">
        <v>11140</v>
      </c>
      <c r="DU51" s="348" t="s">
        <v>108</v>
      </c>
      <c r="DV51" s="348" t="str">
        <f t="shared" ref="DV51:DV62" si="41">+DV50</f>
        <v>PUERTA JARDIN</v>
      </c>
      <c r="DX51" s="442" t="s">
        <v>286</v>
      </c>
      <c r="DY51" s="426">
        <v>0.375</v>
      </c>
      <c r="DZ51" s="408">
        <v>45824</v>
      </c>
      <c r="EA51" s="385">
        <v>328</v>
      </c>
      <c r="EB51" s="385"/>
      <c r="EC51" s="720">
        <f t="shared" si="3"/>
        <v>-23.82</v>
      </c>
      <c r="ED51" s="385">
        <v>10562</v>
      </c>
      <c r="EE51" s="385" t="s">
        <v>308</v>
      </c>
      <c r="EF51" s="385" t="s">
        <v>582</v>
      </c>
      <c r="EG51" s="470"/>
      <c r="EW51" s="419" t="s">
        <v>63</v>
      </c>
      <c r="EX51" s="426">
        <v>0.4458333333333333</v>
      </c>
      <c r="EY51" s="408">
        <v>45264</v>
      </c>
      <c r="EZ51" s="385">
        <v>79</v>
      </c>
      <c r="FA51" s="385">
        <v>0</v>
      </c>
      <c r="FB51" s="385"/>
      <c r="FC51" s="385">
        <v>7163</v>
      </c>
      <c r="FD51" s="385"/>
      <c r="FE51" s="385"/>
      <c r="FG51" s="409" t="s">
        <v>289</v>
      </c>
      <c r="FH51" s="426">
        <v>0.89375000000000004</v>
      </c>
      <c r="FI51" s="408">
        <v>46072</v>
      </c>
      <c r="FJ51" s="385">
        <v>96</v>
      </c>
      <c r="FK51" s="539">
        <v>961</v>
      </c>
      <c r="FL51" s="511">
        <f t="shared" si="32"/>
        <v>0</v>
      </c>
      <c r="FM51" s="385">
        <v>9722</v>
      </c>
      <c r="FN51" s="385" t="s">
        <v>174</v>
      </c>
      <c r="FO51" s="385" t="s">
        <v>90</v>
      </c>
      <c r="FR51" s="509" t="s">
        <v>288</v>
      </c>
      <c r="FS51" s="451">
        <v>0.48749999999999999</v>
      </c>
      <c r="FT51" s="421">
        <v>45545</v>
      </c>
      <c r="FU51" s="452">
        <v>60</v>
      </c>
      <c r="FV51" s="452">
        <v>2772</v>
      </c>
      <c r="FW51" s="644">
        <f t="shared" si="37"/>
        <v>0.4642857142857143</v>
      </c>
      <c r="FX51" s="452">
        <v>8726</v>
      </c>
      <c r="FY51" s="452" t="s">
        <v>417</v>
      </c>
      <c r="FZ51" s="452" t="s">
        <v>600</v>
      </c>
      <c r="GN51" s="426"/>
      <c r="GO51" s="408">
        <v>45996</v>
      </c>
      <c r="GP51" s="385">
        <v>34</v>
      </c>
      <c r="GQ51" s="385">
        <v>5482</v>
      </c>
      <c r="GR51" s="662">
        <f t="shared" si="34"/>
        <v>10</v>
      </c>
      <c r="GS51" s="385">
        <v>11297</v>
      </c>
      <c r="GT51" s="385"/>
      <c r="GU51" s="385" t="s">
        <v>594</v>
      </c>
      <c r="KW51" s="442"/>
      <c r="KX51" s="659"/>
      <c r="KY51" s="564"/>
      <c r="KZ51" s="564"/>
      <c r="LA51" s="660" t="e">
        <f t="shared" si="38"/>
        <v>#DIV/0!</v>
      </c>
      <c r="LB51" s="564"/>
    </row>
    <row r="52" spans="2:314" ht="15.75" customHeight="1" thickBot="1" x14ac:dyDescent="0.3">
      <c r="Q52" s="409" t="s">
        <v>86</v>
      </c>
      <c r="R52" s="426">
        <v>0.36736111111111114</v>
      </c>
      <c r="S52" s="408">
        <v>46013</v>
      </c>
      <c r="T52" s="385">
        <v>23</v>
      </c>
      <c r="U52" s="471">
        <v>1029</v>
      </c>
      <c r="V52" s="456">
        <f t="shared" si="39"/>
        <v>0</v>
      </c>
      <c r="W52" s="385">
        <v>11143</v>
      </c>
      <c r="X52" s="385" t="s">
        <v>388</v>
      </c>
      <c r="Y52" s="385" t="s">
        <v>555</v>
      </c>
      <c r="AB52" s="355"/>
      <c r="AC52" s="355"/>
      <c r="AD52" s="355"/>
      <c r="AE52" s="355"/>
      <c r="AF52" s="355"/>
      <c r="AG52" s="355"/>
      <c r="AH52" s="355"/>
      <c r="AI52" s="355"/>
      <c r="AJ52" s="355"/>
      <c r="AK52" s="355"/>
      <c r="AX52" s="355"/>
      <c r="AY52" s="355"/>
      <c r="AZ52" s="355"/>
      <c r="BA52" s="356"/>
      <c r="BB52" s="357"/>
      <c r="BC52" s="357"/>
      <c r="BD52" s="355"/>
      <c r="BE52" s="355"/>
      <c r="BF52" s="355"/>
      <c r="BG52" s="355"/>
      <c r="BH52" s="355"/>
      <c r="BI52" s="355"/>
      <c r="BK52" s="726" t="s">
        <v>503</v>
      </c>
      <c r="BL52" s="426">
        <v>0.6694444444444444</v>
      </c>
      <c r="BM52" s="408">
        <v>45216</v>
      </c>
      <c r="BN52" s="385">
        <v>79</v>
      </c>
      <c r="BO52" s="385">
        <v>8630</v>
      </c>
      <c r="BP52" s="402">
        <f t="shared" si="9"/>
        <v>0.23809523809523808</v>
      </c>
      <c r="BQ52" s="440">
        <v>4365</v>
      </c>
      <c r="BR52" s="385"/>
      <c r="BS52" s="385"/>
      <c r="BT52" s="385"/>
      <c r="BU52" s="355"/>
      <c r="BV52" s="717" t="s">
        <v>306</v>
      </c>
      <c r="BW52" s="426">
        <v>0.64374999999999993</v>
      </c>
      <c r="BX52" s="408">
        <v>45202</v>
      </c>
      <c r="BY52" s="385">
        <v>96</v>
      </c>
      <c r="BZ52" s="385">
        <v>9400</v>
      </c>
      <c r="CA52" s="692">
        <f t="shared" si="10"/>
        <v>0.16516853932585088</v>
      </c>
      <c r="CB52" s="385">
        <v>5899</v>
      </c>
      <c r="CC52" s="385"/>
      <c r="CD52" s="385"/>
      <c r="CH52" s="451">
        <v>0.40833333333333333</v>
      </c>
      <c r="CI52" s="421">
        <v>45482</v>
      </c>
      <c r="CJ52" s="452">
        <v>115</v>
      </c>
      <c r="CK52" s="452">
        <v>1277</v>
      </c>
      <c r="CL52" s="527">
        <f t="shared" si="17"/>
        <v>9.3211678832116789</v>
      </c>
      <c r="CM52" s="476">
        <v>4089</v>
      </c>
      <c r="CN52" s="452"/>
      <c r="CO52" s="452"/>
      <c r="CR52" s="399" t="s">
        <v>310</v>
      </c>
      <c r="CS52" s="426">
        <v>0.41180555555555554</v>
      </c>
      <c r="CT52" s="421">
        <v>45549</v>
      </c>
      <c r="CU52" s="385">
        <v>114</v>
      </c>
      <c r="CV52" s="385">
        <v>6446</v>
      </c>
      <c r="CW52" s="429">
        <f t="shared" si="31"/>
        <v>0.13223140495867769</v>
      </c>
      <c r="CX52" s="385">
        <v>9075</v>
      </c>
      <c r="CY52" s="385" t="s">
        <v>67</v>
      </c>
      <c r="CZ52" s="385" t="s">
        <v>408</v>
      </c>
      <c r="DC52" s="409" t="s">
        <v>115</v>
      </c>
      <c r="DD52" s="426">
        <v>4.677083333333333</v>
      </c>
      <c r="DE52" s="408">
        <v>45948</v>
      </c>
      <c r="DF52" s="385">
        <v>36</v>
      </c>
      <c r="DG52" s="385">
        <v>6600</v>
      </c>
      <c r="DH52" s="651">
        <f t="shared" si="40"/>
        <v>5</v>
      </c>
      <c r="DI52" s="385">
        <v>11552</v>
      </c>
      <c r="DJ52" s="385"/>
      <c r="DK52" s="385" t="s">
        <v>581</v>
      </c>
      <c r="DO52" s="566">
        <v>45452</v>
      </c>
      <c r="DP52" s="566">
        <v>45580</v>
      </c>
      <c r="DQ52" s="348">
        <v>293</v>
      </c>
      <c r="DR52" s="348">
        <v>978</v>
      </c>
      <c r="DS52" s="402">
        <f t="shared" si="2"/>
        <v>0.17638376383763821</v>
      </c>
      <c r="DT52" s="348">
        <v>11066</v>
      </c>
      <c r="DU52" s="348" t="s">
        <v>46</v>
      </c>
      <c r="DV52" s="348" t="str">
        <f t="shared" si="41"/>
        <v>PUERTA JARDIN</v>
      </c>
      <c r="DY52" s="451">
        <v>0.63888888888888884</v>
      </c>
      <c r="DZ52" s="421">
        <v>45827</v>
      </c>
      <c r="EA52" s="452">
        <v>200</v>
      </c>
      <c r="EB52" s="452">
        <v>1228</v>
      </c>
      <c r="EC52" s="565">
        <f t="shared" si="3"/>
        <v>3.7439024390243905</v>
      </c>
      <c r="ED52" s="452">
        <v>10591</v>
      </c>
      <c r="EE52" s="452" t="s">
        <v>308</v>
      </c>
      <c r="EF52" s="452" t="s">
        <v>582</v>
      </c>
      <c r="EG52" s="519"/>
      <c r="EX52" s="451">
        <v>0.70972222222222225</v>
      </c>
      <c r="EY52" s="421">
        <v>45267</v>
      </c>
      <c r="EZ52" s="452">
        <v>75</v>
      </c>
      <c r="FA52" s="452">
        <v>0</v>
      </c>
      <c r="FB52" s="452"/>
      <c r="FC52" s="452">
        <v>7204</v>
      </c>
      <c r="FD52" s="452"/>
      <c r="FE52" s="385"/>
      <c r="FG52" s="409" t="s">
        <v>289</v>
      </c>
      <c r="FH52" s="426">
        <v>0.62847222222222221</v>
      </c>
      <c r="FI52" s="408">
        <v>46085</v>
      </c>
      <c r="FJ52" s="385">
        <v>67</v>
      </c>
      <c r="FK52" s="539">
        <v>1013</v>
      </c>
      <c r="FL52" s="511">
        <f t="shared" si="32"/>
        <v>52</v>
      </c>
      <c r="FM52" s="385">
        <v>11322</v>
      </c>
      <c r="FN52" s="385" t="s">
        <v>174</v>
      </c>
      <c r="FO52" s="385" t="s">
        <v>90</v>
      </c>
      <c r="FR52" s="509" t="s">
        <v>288</v>
      </c>
      <c r="FS52" s="451"/>
      <c r="FT52" s="421">
        <v>45554</v>
      </c>
      <c r="FU52" s="452">
        <v>66</v>
      </c>
      <c r="FV52" s="452">
        <v>2807</v>
      </c>
      <c r="FW52" s="644">
        <f t="shared" si="37"/>
        <v>1.2749999999999999</v>
      </c>
      <c r="FX52" s="452">
        <v>9090</v>
      </c>
      <c r="FY52" s="452" t="s">
        <v>417</v>
      </c>
      <c r="FZ52" s="452" t="s">
        <v>600</v>
      </c>
      <c r="GM52" s="419" t="s">
        <v>321</v>
      </c>
      <c r="GN52" s="426">
        <v>0.53402777777777777</v>
      </c>
      <c r="GO52" s="408">
        <v>45999</v>
      </c>
      <c r="GP52" s="385">
        <v>29</v>
      </c>
      <c r="GQ52" s="385">
        <v>5492</v>
      </c>
      <c r="GR52" s="662">
        <f t="shared" si="34"/>
        <v>10</v>
      </c>
      <c r="GS52" s="385">
        <v>11209</v>
      </c>
      <c r="GT52" s="385" t="s">
        <v>599</v>
      </c>
      <c r="GU52" s="385" t="s">
        <v>594</v>
      </c>
      <c r="GX52" s="348" t="s">
        <v>601</v>
      </c>
      <c r="GY52" s="348">
        <f>GY53+250</f>
        <v>3457</v>
      </c>
      <c r="KW52" s="442"/>
    </row>
    <row r="53" spans="2:314" ht="15.75" customHeight="1" thickBot="1" x14ac:dyDescent="0.3">
      <c r="Q53" s="409" t="s">
        <v>86</v>
      </c>
      <c r="R53" s="426">
        <v>0.62152777777777779</v>
      </c>
      <c r="S53" s="408">
        <v>46024</v>
      </c>
      <c r="T53" s="385">
        <v>35</v>
      </c>
      <c r="U53" s="471">
        <v>1061</v>
      </c>
      <c r="V53" s="456">
        <f t="shared" si="39"/>
        <v>32</v>
      </c>
      <c r="W53" s="385">
        <v>9976</v>
      </c>
      <c r="X53" s="385" t="s">
        <v>308</v>
      </c>
      <c r="Y53" s="385" t="s">
        <v>602</v>
      </c>
      <c r="AB53" s="355"/>
      <c r="AC53" s="355"/>
      <c r="AD53" s="355"/>
      <c r="AE53" s="355"/>
      <c r="AF53" s="355"/>
      <c r="AG53" s="355"/>
      <c r="AH53" s="355"/>
      <c r="AI53" s="355"/>
      <c r="AJ53" s="355"/>
      <c r="AK53" s="355"/>
      <c r="AX53" s="355"/>
      <c r="AY53" s="355"/>
      <c r="AZ53" s="355"/>
      <c r="BA53" s="356"/>
      <c r="BB53" s="357"/>
      <c r="BC53" s="357"/>
      <c r="BD53" s="355"/>
      <c r="BE53" s="355"/>
      <c r="BF53" s="355"/>
      <c r="BG53" s="355"/>
      <c r="BH53" s="355"/>
      <c r="BI53" s="355"/>
      <c r="BL53" s="426">
        <v>0.52847222222222223</v>
      </c>
      <c r="BM53" s="408">
        <v>45218</v>
      </c>
      <c r="BN53" s="385">
        <v>106</v>
      </c>
      <c r="BO53" s="385">
        <v>8642</v>
      </c>
      <c r="BP53" s="402">
        <f t="shared" si="9"/>
        <v>0.15189873417721519</v>
      </c>
      <c r="BQ53" s="440">
        <v>4388</v>
      </c>
      <c r="BR53" s="385"/>
      <c r="BS53" s="385"/>
      <c r="BT53" s="385"/>
      <c r="BU53" s="355"/>
      <c r="BW53" s="674">
        <v>0.68888888888888899</v>
      </c>
      <c r="BX53" s="675">
        <v>45204</v>
      </c>
      <c r="BY53" s="676">
        <v>86</v>
      </c>
      <c r="BZ53" s="676">
        <v>9414.7999999999993</v>
      </c>
      <c r="CA53" s="692">
        <f t="shared" si="10"/>
        <v>0.1541666666666591</v>
      </c>
      <c r="CB53" s="452">
        <v>5925</v>
      </c>
      <c r="CC53" s="452"/>
      <c r="CD53" s="385"/>
      <c r="CG53" s="442" t="s">
        <v>307</v>
      </c>
      <c r="CH53" s="426">
        <v>0.38333333333333336</v>
      </c>
      <c r="CI53" s="408">
        <v>45495</v>
      </c>
      <c r="CJ53" s="385">
        <v>70</v>
      </c>
      <c r="CK53" s="385"/>
      <c r="CL53" s="527">
        <f t="shared" si="17"/>
        <v>-11.104347826086956</v>
      </c>
      <c r="CM53" s="440">
        <v>8769</v>
      </c>
      <c r="CN53" s="385" t="s">
        <v>603</v>
      </c>
      <c r="CO53" s="385" t="s">
        <v>604</v>
      </c>
      <c r="CS53" s="451">
        <v>0.33611111111111114</v>
      </c>
      <c r="CT53" s="421">
        <v>45555</v>
      </c>
      <c r="CU53" s="452">
        <v>79</v>
      </c>
      <c r="CV53" s="452">
        <v>6471</v>
      </c>
      <c r="CW53" s="429">
        <f t="shared" si="31"/>
        <v>0.21929824561403508</v>
      </c>
      <c r="CX53" s="452">
        <v>9094</v>
      </c>
      <c r="CY53" s="452" t="s">
        <v>67</v>
      </c>
      <c r="CZ53" s="452" t="s">
        <v>408</v>
      </c>
      <c r="DD53" s="451">
        <v>0.72916666666666663</v>
      </c>
      <c r="DE53" s="421">
        <v>45953</v>
      </c>
      <c r="DF53" s="452">
        <v>54</v>
      </c>
      <c r="DG53" s="452">
        <v>6626</v>
      </c>
      <c r="DH53" s="713">
        <f t="shared" si="40"/>
        <v>26</v>
      </c>
      <c r="DI53" s="452">
        <v>11583</v>
      </c>
      <c r="DJ53" s="452" t="s">
        <v>168</v>
      </c>
      <c r="DK53" s="452" t="s">
        <v>581</v>
      </c>
      <c r="DO53" s="645">
        <v>0.35069444444444442</v>
      </c>
      <c r="DP53" s="566">
        <v>45584</v>
      </c>
      <c r="DQ53" s="348">
        <v>336</v>
      </c>
      <c r="DR53" s="348">
        <v>1006.3</v>
      </c>
      <c r="DS53" s="402">
        <f t="shared" si="2"/>
        <v>9.6587030716723393E-2</v>
      </c>
      <c r="DT53" s="348">
        <v>11090</v>
      </c>
      <c r="DU53" s="348" t="str">
        <f>+DU52</f>
        <v>Rigo</v>
      </c>
      <c r="DV53" s="348" t="str">
        <f t="shared" si="41"/>
        <v>PUERTA JARDIN</v>
      </c>
      <c r="DX53" s="442" t="s">
        <v>286</v>
      </c>
      <c r="DY53" s="426">
        <v>0.42986111111111114</v>
      </c>
      <c r="DZ53" s="408">
        <v>45839</v>
      </c>
      <c r="EA53" s="385">
        <v>328</v>
      </c>
      <c r="EB53" s="385">
        <v>1232</v>
      </c>
      <c r="EC53" s="720">
        <f t="shared" si="3"/>
        <v>0.02</v>
      </c>
      <c r="ED53" s="385">
        <v>10718</v>
      </c>
      <c r="EE53" s="385" t="s">
        <v>308</v>
      </c>
      <c r="EF53" s="385" t="s">
        <v>582</v>
      </c>
      <c r="EG53" s="470"/>
      <c r="EW53" s="419" t="s">
        <v>63</v>
      </c>
      <c r="EX53" s="426">
        <v>0.58333333333333337</v>
      </c>
      <c r="EY53" s="408">
        <v>45270</v>
      </c>
      <c r="EZ53" s="385">
        <v>60</v>
      </c>
      <c r="FA53" s="385">
        <v>0</v>
      </c>
      <c r="FB53" s="385"/>
      <c r="FC53" s="385">
        <v>7227</v>
      </c>
      <c r="FD53" s="385"/>
      <c r="FE53" s="385"/>
      <c r="FG53" s="409" t="s">
        <v>289</v>
      </c>
      <c r="FH53" s="426">
        <v>0.64861111111111114</v>
      </c>
      <c r="FI53" s="408">
        <v>46093</v>
      </c>
      <c r="FJ53" s="385">
        <v>90</v>
      </c>
      <c r="FK53" s="539">
        <v>1040</v>
      </c>
      <c r="FL53" s="511">
        <f t="shared" si="32"/>
        <v>27</v>
      </c>
      <c r="FM53" s="385">
        <v>11765</v>
      </c>
      <c r="FN53" s="385" t="s">
        <v>173</v>
      </c>
      <c r="FO53" s="385" t="s">
        <v>90</v>
      </c>
      <c r="FP53" s="428" t="s">
        <v>541</v>
      </c>
      <c r="FR53" s="509" t="s">
        <v>288</v>
      </c>
      <c r="FS53" s="451">
        <v>0.5395833333333333</v>
      </c>
      <c r="FT53" s="421">
        <v>45559</v>
      </c>
      <c r="FU53" s="452">
        <v>47</v>
      </c>
      <c r="FV53" s="452">
        <v>2821</v>
      </c>
      <c r="FW53" s="644">
        <f t="shared" si="37"/>
        <v>0.81666666666666665</v>
      </c>
      <c r="FX53" s="452">
        <v>8798</v>
      </c>
      <c r="FY53" s="452" t="s">
        <v>323</v>
      </c>
      <c r="FZ53" s="452" t="s">
        <v>600</v>
      </c>
      <c r="GM53" s="419" t="s">
        <v>321</v>
      </c>
      <c r="GN53" s="426">
        <v>0.8125</v>
      </c>
      <c r="GO53" s="408">
        <v>46009</v>
      </c>
      <c r="GP53" s="385">
        <v>54</v>
      </c>
      <c r="GQ53" s="385">
        <v>5515</v>
      </c>
      <c r="GR53" s="662">
        <f t="shared" si="34"/>
        <v>23</v>
      </c>
      <c r="GS53" s="385">
        <v>11130</v>
      </c>
      <c r="GT53" s="385"/>
      <c r="GU53" s="385" t="s">
        <v>594</v>
      </c>
      <c r="GX53" s="441" t="s">
        <v>605</v>
      </c>
      <c r="GY53" s="453">
        <v>3207</v>
      </c>
      <c r="JL53" s="361" t="s">
        <v>296</v>
      </c>
      <c r="JM53" s="361" t="s">
        <v>28</v>
      </c>
      <c r="JN53" s="361" t="s">
        <v>207</v>
      </c>
      <c r="JO53" s="361" t="s">
        <v>208</v>
      </c>
      <c r="JP53" s="361" t="s">
        <v>209</v>
      </c>
      <c r="JQ53" s="361" t="s">
        <v>210</v>
      </c>
      <c r="JR53" s="361"/>
      <c r="JS53" s="361"/>
      <c r="JT53" s="361"/>
      <c r="JU53" s="361" t="s">
        <v>606</v>
      </c>
      <c r="KW53" s="442"/>
    </row>
    <row r="54" spans="2:314" ht="15.75" customHeight="1" thickBot="1" x14ac:dyDescent="0.3">
      <c r="Q54" s="409" t="s">
        <v>86</v>
      </c>
      <c r="R54" s="426">
        <v>0.66527777777777775</v>
      </c>
      <c r="S54" s="408">
        <v>46029</v>
      </c>
      <c r="T54" s="385">
        <v>34</v>
      </c>
      <c r="U54" s="471">
        <v>1061</v>
      </c>
      <c r="V54" s="456">
        <f t="shared" si="39"/>
        <v>0</v>
      </c>
      <c r="W54" s="385">
        <v>1000</v>
      </c>
      <c r="X54" s="385" t="s">
        <v>308</v>
      </c>
      <c r="Y54" s="385" t="s">
        <v>602</v>
      </c>
      <c r="AB54" s="355"/>
      <c r="AC54" s="355"/>
      <c r="AD54" s="355"/>
      <c r="AE54" s="355"/>
      <c r="AF54" s="355"/>
      <c r="AG54" s="355"/>
      <c r="AH54" s="355"/>
      <c r="AI54" s="355"/>
      <c r="AJ54" s="355"/>
      <c r="AK54" s="355"/>
      <c r="AX54" s="355"/>
      <c r="AY54" s="355"/>
      <c r="AZ54" s="355"/>
      <c r="BA54" s="356"/>
      <c r="BB54" s="357"/>
      <c r="BC54" s="357"/>
      <c r="BD54" s="355"/>
      <c r="BE54" s="355"/>
      <c r="BF54" s="355"/>
      <c r="BG54" s="355"/>
      <c r="BH54" s="355"/>
      <c r="BI54" s="355"/>
      <c r="BL54" s="426"/>
      <c r="BM54" s="408"/>
      <c r="BN54" s="385"/>
      <c r="BO54" s="385"/>
      <c r="BP54" s="402"/>
      <c r="BQ54" s="440"/>
      <c r="BR54" s="385"/>
      <c r="BS54" s="385"/>
      <c r="BT54" s="385"/>
      <c r="BU54" s="355"/>
      <c r="BW54" s="727"/>
      <c r="BX54" s="728"/>
      <c r="BY54" s="729"/>
      <c r="BZ54" s="573"/>
      <c r="CA54" s="730"/>
      <c r="CB54" s="452"/>
      <c r="CC54" s="452"/>
      <c r="CD54" s="385"/>
      <c r="CG54" s="442" t="s">
        <v>307</v>
      </c>
      <c r="CH54" s="426"/>
      <c r="CI54" s="408">
        <v>45502</v>
      </c>
      <c r="CJ54" s="385">
        <v>100</v>
      </c>
      <c r="CK54" s="385"/>
      <c r="CL54" s="527">
        <f t="shared" si="17"/>
        <v>0</v>
      </c>
      <c r="CM54" s="440">
        <v>8852</v>
      </c>
      <c r="CN54" s="385" t="s">
        <v>603</v>
      </c>
      <c r="CO54" s="385" t="s">
        <v>604</v>
      </c>
      <c r="CR54" s="399" t="s">
        <v>310</v>
      </c>
      <c r="CS54" s="408">
        <v>45565</v>
      </c>
      <c r="CT54" s="421">
        <v>45565</v>
      </c>
      <c r="CU54" s="385">
        <v>199</v>
      </c>
      <c r="CV54" s="385">
        <v>6532</v>
      </c>
      <c r="CW54" s="429">
        <f t="shared" si="31"/>
        <v>0.77215189873417722</v>
      </c>
      <c r="CX54" s="385">
        <v>9075</v>
      </c>
      <c r="CY54" s="385" t="s">
        <v>67</v>
      </c>
      <c r="CZ54" s="385" t="s">
        <v>408</v>
      </c>
      <c r="DC54" s="409" t="s">
        <v>115</v>
      </c>
      <c r="DD54" s="426">
        <v>0.73124999999999996</v>
      </c>
      <c r="DE54" s="408">
        <v>45958</v>
      </c>
      <c r="DF54" s="385">
        <v>53</v>
      </c>
      <c r="DG54" s="471">
        <v>6626</v>
      </c>
      <c r="DH54" s="651">
        <f t="shared" si="40"/>
        <v>0</v>
      </c>
      <c r="DI54" s="385">
        <v>9463</v>
      </c>
      <c r="DJ54" s="385" t="s">
        <v>168</v>
      </c>
      <c r="DK54" s="385" t="s">
        <v>581</v>
      </c>
      <c r="DN54" s="568" t="str">
        <f>+DN51</f>
        <v>EX13 KOMATSU PC210</v>
      </c>
      <c r="DO54" s="569">
        <v>0.49722222222222223</v>
      </c>
      <c r="DP54" s="570">
        <v>45587</v>
      </c>
      <c r="DQ54" s="568">
        <v>300</v>
      </c>
      <c r="DR54" s="568">
        <v>1021.3</v>
      </c>
      <c r="DS54" s="731">
        <f t="shared" si="2"/>
        <v>4.4642857142857144E-2</v>
      </c>
      <c r="DT54" s="568">
        <v>7555</v>
      </c>
      <c r="DU54" s="568" t="str">
        <f>+DU53</f>
        <v>Rigo</v>
      </c>
      <c r="DV54" s="568" t="str">
        <f t="shared" si="41"/>
        <v>PUERTA JARDIN</v>
      </c>
      <c r="DY54" s="426">
        <v>0.44305555555555554</v>
      </c>
      <c r="DZ54" s="408">
        <v>45842</v>
      </c>
      <c r="EA54" s="385">
        <v>284</v>
      </c>
      <c r="EB54" s="385">
        <v>1250</v>
      </c>
      <c r="EC54" s="720">
        <f t="shared" si="3"/>
        <v>5.4878048780487805E-2</v>
      </c>
      <c r="ED54" s="385">
        <v>10734</v>
      </c>
      <c r="EE54" s="385" t="s">
        <v>308</v>
      </c>
      <c r="EF54" s="385" t="s">
        <v>582</v>
      </c>
      <c r="EG54" s="470" t="s">
        <v>607</v>
      </c>
      <c r="EX54" s="385"/>
      <c r="EY54" s="408">
        <v>45273</v>
      </c>
      <c r="EZ54" s="385">
        <v>40</v>
      </c>
      <c r="FA54" s="385">
        <v>0</v>
      </c>
      <c r="FB54" s="385"/>
      <c r="FC54" s="668">
        <v>4559</v>
      </c>
      <c r="FD54" s="668"/>
      <c r="FE54" s="385"/>
      <c r="FG54" s="409" t="s">
        <v>289</v>
      </c>
      <c r="FH54" s="491">
        <v>0.60763888888888884</v>
      </c>
      <c r="FI54" s="513">
        <v>46101</v>
      </c>
      <c r="FJ54" s="469">
        <v>96</v>
      </c>
      <c r="FK54" s="540">
        <v>1083</v>
      </c>
      <c r="FL54" s="732">
        <f t="shared" si="32"/>
        <v>43</v>
      </c>
      <c r="FM54" s="469">
        <v>12785</v>
      </c>
      <c r="FN54" s="469" t="s">
        <v>173</v>
      </c>
      <c r="FO54" s="469" t="s">
        <v>90</v>
      </c>
      <c r="FR54" s="509" t="s">
        <v>288</v>
      </c>
      <c r="FS54" s="491"/>
      <c r="FT54" s="513">
        <v>45567</v>
      </c>
      <c r="FU54" s="469">
        <v>90</v>
      </c>
      <c r="FV54" s="469">
        <v>1</v>
      </c>
      <c r="FW54" s="733">
        <f t="shared" si="37"/>
        <v>-42.515151515151516</v>
      </c>
      <c r="FX54" s="469">
        <v>6542</v>
      </c>
      <c r="FY54" s="469" t="s">
        <v>323</v>
      </c>
      <c r="FZ54" s="469"/>
      <c r="GM54" s="419" t="s">
        <v>321</v>
      </c>
      <c r="GN54" s="426">
        <v>0.375</v>
      </c>
      <c r="GO54" s="408">
        <v>46060</v>
      </c>
      <c r="GP54" s="385">
        <v>39</v>
      </c>
      <c r="GQ54" s="385">
        <v>5531</v>
      </c>
      <c r="GR54" s="662">
        <f t="shared" si="34"/>
        <v>16</v>
      </c>
      <c r="GS54" s="385">
        <v>11239</v>
      </c>
      <c r="GT54" s="385" t="s">
        <v>149</v>
      </c>
      <c r="GU54" s="385" t="s">
        <v>608</v>
      </c>
      <c r="JL54" s="371"/>
      <c r="JM54" s="734"/>
      <c r="JN54" s="734"/>
      <c r="JO54" s="734"/>
      <c r="JP54" s="734"/>
      <c r="JQ54" s="735"/>
      <c r="JR54" s="367"/>
      <c r="JS54" s="367"/>
      <c r="JT54" s="367"/>
      <c r="JU54" s="367"/>
      <c r="KW54" s="736"/>
    </row>
    <row r="55" spans="2:314" ht="15.75" customHeight="1" thickBot="1" x14ac:dyDescent="0.3">
      <c r="Q55" s="409" t="s">
        <v>86</v>
      </c>
      <c r="R55" s="426">
        <v>0.49236111111111114</v>
      </c>
      <c r="S55" s="408">
        <v>46032</v>
      </c>
      <c r="T55" s="385">
        <v>35</v>
      </c>
      <c r="U55" s="539">
        <v>1082</v>
      </c>
      <c r="V55" s="456">
        <f t="shared" si="39"/>
        <v>21</v>
      </c>
      <c r="W55" s="385">
        <v>9921</v>
      </c>
      <c r="X55" s="385"/>
      <c r="Y55" s="385" t="s">
        <v>602</v>
      </c>
      <c r="AB55" s="355"/>
      <c r="AC55" s="355"/>
      <c r="AD55" s="355"/>
      <c r="AE55" s="355"/>
      <c r="AF55" s="355"/>
      <c r="AG55" s="355"/>
      <c r="AH55" s="355"/>
      <c r="AI55" s="355"/>
      <c r="AJ55" s="355"/>
      <c r="AK55" s="355"/>
      <c r="AX55" s="355"/>
      <c r="AY55" s="355"/>
      <c r="AZ55" s="355"/>
      <c r="BA55" s="356"/>
      <c r="BB55" s="357"/>
      <c r="BC55" s="357"/>
      <c r="BD55" s="355"/>
      <c r="BE55" s="355"/>
      <c r="BF55" s="355"/>
      <c r="BG55" s="355"/>
      <c r="BH55" s="355"/>
      <c r="BI55" s="355"/>
      <c r="BK55" s="737" t="s">
        <v>503</v>
      </c>
      <c r="BL55" s="426">
        <v>0.3888888888888889</v>
      </c>
      <c r="BM55" s="408">
        <v>45223</v>
      </c>
      <c r="BN55" s="385">
        <v>48</v>
      </c>
      <c r="BO55" s="385"/>
      <c r="BP55" s="402">
        <f>(BO55-BO53)/BN53</f>
        <v>-81.528301886792448</v>
      </c>
      <c r="BQ55" s="694">
        <v>4418</v>
      </c>
      <c r="BR55" s="698"/>
      <c r="BS55" s="698"/>
      <c r="BT55" s="705" t="s">
        <v>589</v>
      </c>
      <c r="BU55" s="355"/>
      <c r="BW55" s="727"/>
      <c r="BX55" s="728"/>
      <c r="BY55" s="729"/>
      <c r="BZ55" s="573"/>
      <c r="CA55" s="730"/>
      <c r="CB55" s="452"/>
      <c r="CC55" s="452"/>
      <c r="CD55" s="385"/>
      <c r="CH55" s="451">
        <v>0.48194444444444445</v>
      </c>
      <c r="CI55" s="421">
        <v>45504</v>
      </c>
      <c r="CJ55" s="452">
        <v>185</v>
      </c>
      <c r="CK55" s="452">
        <v>1332</v>
      </c>
      <c r="CL55" s="527">
        <f t="shared" si="17"/>
        <v>13.32</v>
      </c>
      <c r="CM55" s="476">
        <v>8873</v>
      </c>
      <c r="CN55" s="452" t="s">
        <v>603</v>
      </c>
      <c r="CO55" s="452" t="s">
        <v>604</v>
      </c>
      <c r="CS55" s="738">
        <v>0.33611111111111114</v>
      </c>
      <c r="CT55" s="739">
        <v>45570</v>
      </c>
      <c r="CU55" s="740">
        <v>100</v>
      </c>
      <c r="CV55" s="740">
        <v>0</v>
      </c>
      <c r="CW55" s="741">
        <f t="shared" si="31"/>
        <v>-32.824120603015075</v>
      </c>
      <c r="CX55" s="740">
        <v>11134</v>
      </c>
      <c r="CY55" s="740" t="str">
        <f>+CY54</f>
        <v>Gustavo</v>
      </c>
      <c r="CZ55" s="740" t="s">
        <v>609</v>
      </c>
      <c r="DC55" s="409" t="s">
        <v>115</v>
      </c>
      <c r="DD55" s="700">
        <v>0.77916666666666667</v>
      </c>
      <c r="DE55" s="701">
        <v>45964</v>
      </c>
      <c r="DF55" s="539">
        <v>54</v>
      </c>
      <c r="DG55" s="539"/>
      <c r="DH55" s="742">
        <f t="shared" si="40"/>
        <v>-6626</v>
      </c>
      <c r="DI55" s="539">
        <v>11005</v>
      </c>
      <c r="DJ55" s="539" t="s">
        <v>168</v>
      </c>
      <c r="DK55" s="539" t="s">
        <v>581</v>
      </c>
      <c r="DN55" s="568" t="str">
        <f>+DN54</f>
        <v>EX13 KOMATSU PC210</v>
      </c>
      <c r="DO55" s="569">
        <v>0.61805555555555558</v>
      </c>
      <c r="DP55" s="570">
        <v>45589</v>
      </c>
      <c r="DQ55" s="568">
        <v>307</v>
      </c>
      <c r="DR55" s="568">
        <v>1040</v>
      </c>
      <c r="DS55" s="731">
        <f t="shared" si="2"/>
        <v>6.2333333333333484E-2</v>
      </c>
      <c r="DT55" s="568">
        <v>7574</v>
      </c>
      <c r="DU55" s="568" t="str">
        <f>+DU54</f>
        <v>Rigo</v>
      </c>
      <c r="DV55" s="568" t="str">
        <f t="shared" si="41"/>
        <v>PUERTA JARDIN</v>
      </c>
      <c r="DX55" s="442" t="s">
        <v>286</v>
      </c>
      <c r="DY55" s="426">
        <v>0.52777777777777779</v>
      </c>
      <c r="DZ55" s="408">
        <v>45846</v>
      </c>
      <c r="EA55" s="385">
        <v>282</v>
      </c>
      <c r="EB55" s="385">
        <v>1270</v>
      </c>
      <c r="EC55" s="720">
        <f t="shared" si="3"/>
        <v>7.0422535211267609E-2</v>
      </c>
      <c r="ED55" s="385">
        <v>10107</v>
      </c>
      <c r="EE55" s="385" t="s">
        <v>308</v>
      </c>
      <c r="EF55" s="385" t="s">
        <v>610</v>
      </c>
      <c r="EG55" s="470"/>
      <c r="EX55" s="426">
        <v>0.38541666666666669</v>
      </c>
      <c r="EY55" s="408">
        <v>45274</v>
      </c>
      <c r="EZ55" s="385">
        <v>20</v>
      </c>
      <c r="FA55" s="385">
        <v>0</v>
      </c>
      <c r="FB55" s="385"/>
      <c r="FC55" s="668">
        <v>4561</v>
      </c>
      <c r="FD55" s="668"/>
      <c r="FE55" s="385"/>
      <c r="FR55" s="348" t="s">
        <v>89</v>
      </c>
      <c r="FS55" s="645">
        <v>0.39444444444444443</v>
      </c>
      <c r="FT55" s="566">
        <v>45579</v>
      </c>
      <c r="FU55" s="348">
        <v>59</v>
      </c>
      <c r="FV55" s="729">
        <v>1</v>
      </c>
      <c r="FW55" s="733">
        <f t="shared" si="37"/>
        <v>-60</v>
      </c>
      <c r="FX55" s="348">
        <v>11060</v>
      </c>
      <c r="FY55" s="348" t="s">
        <v>323</v>
      </c>
      <c r="FZ55" s="348" t="s">
        <v>600</v>
      </c>
      <c r="GN55" s="426">
        <v>0.44305555555555554</v>
      </c>
      <c r="GO55" s="408">
        <v>46064</v>
      </c>
      <c r="GP55" s="385">
        <v>84</v>
      </c>
      <c r="GQ55" s="385">
        <v>5552</v>
      </c>
      <c r="GR55" s="662">
        <f t="shared" si="34"/>
        <v>21</v>
      </c>
      <c r="GS55" s="385">
        <v>10540</v>
      </c>
      <c r="GT55" s="385" t="s">
        <v>452</v>
      </c>
      <c r="GU55" s="385" t="s">
        <v>544</v>
      </c>
      <c r="JL55" s="371"/>
      <c r="JM55" s="734"/>
      <c r="JN55" s="734"/>
      <c r="JO55" s="734"/>
      <c r="JP55" s="734"/>
      <c r="JQ55" s="735"/>
      <c r="JR55" s="367"/>
      <c r="JS55" s="367"/>
      <c r="JT55" s="367"/>
      <c r="JU55" s="367"/>
      <c r="KW55" s="736"/>
    </row>
    <row r="56" spans="2:314" ht="15.75" customHeight="1" thickBot="1" x14ac:dyDescent="0.3">
      <c r="Q56" s="409" t="s">
        <v>86</v>
      </c>
      <c r="R56" s="426">
        <v>0.70694444444444449</v>
      </c>
      <c r="S56" s="408">
        <v>46041</v>
      </c>
      <c r="T56" s="385">
        <v>44</v>
      </c>
      <c r="U56" s="471">
        <v>1082</v>
      </c>
      <c r="V56" s="456">
        <f t="shared" si="39"/>
        <v>0</v>
      </c>
      <c r="W56" s="385">
        <v>10622</v>
      </c>
      <c r="X56" s="385" t="s">
        <v>388</v>
      </c>
      <c r="Y56" s="385" t="s">
        <v>555</v>
      </c>
      <c r="AB56" s="355"/>
      <c r="AC56" s="355"/>
      <c r="AD56" s="355"/>
      <c r="AE56" s="355"/>
      <c r="AF56" s="355"/>
      <c r="AG56" s="355"/>
      <c r="AH56" s="355"/>
      <c r="AI56" s="355"/>
      <c r="AJ56" s="355"/>
      <c r="AK56" s="355"/>
      <c r="AX56" s="355"/>
      <c r="AY56" s="355"/>
      <c r="AZ56" s="355"/>
      <c r="BA56" s="356"/>
      <c r="BB56" s="357"/>
      <c r="BC56" s="357"/>
      <c r="BD56" s="355"/>
      <c r="BE56" s="355"/>
      <c r="BF56" s="355"/>
      <c r="BG56" s="355"/>
      <c r="BH56" s="355"/>
      <c r="BI56" s="355"/>
      <c r="BL56" s="426">
        <v>0.70138888888888884</v>
      </c>
      <c r="BM56" s="408">
        <v>45223</v>
      </c>
      <c r="BN56" s="385">
        <v>60</v>
      </c>
      <c r="BO56" s="385"/>
      <c r="BP56" s="402">
        <f>(BO56-BO55)/BN55</f>
        <v>0</v>
      </c>
      <c r="BQ56" s="440"/>
      <c r="BR56" s="385"/>
      <c r="BS56" s="385"/>
      <c r="BT56" s="385"/>
      <c r="BU56" s="355"/>
      <c r="BV56" s="743" t="s">
        <v>306</v>
      </c>
      <c r="BW56" s="744">
        <v>0.34027777777777773</v>
      </c>
      <c r="BX56" s="745">
        <v>45235</v>
      </c>
      <c r="BY56" s="746">
        <v>129</v>
      </c>
      <c r="BZ56" s="710">
        <v>9430</v>
      </c>
      <c r="CA56" s="747">
        <f>(BZ56-BZ53)/BY53</f>
        <v>0.17674418604652009</v>
      </c>
      <c r="CB56" s="670">
        <v>4510</v>
      </c>
      <c r="CC56" s="385"/>
      <c r="CD56" s="385"/>
      <c r="CG56" s="442" t="s">
        <v>307</v>
      </c>
      <c r="CH56" s="426"/>
      <c r="CI56" s="408">
        <v>45507</v>
      </c>
      <c r="CJ56" s="385">
        <v>98</v>
      </c>
      <c r="CK56" s="385"/>
      <c r="CL56" s="527">
        <f t="shared" si="17"/>
        <v>-7.2</v>
      </c>
      <c r="CM56" s="440">
        <v>8959</v>
      </c>
      <c r="CN56" s="385" t="s">
        <v>406</v>
      </c>
      <c r="CO56" s="385" t="s">
        <v>390</v>
      </c>
      <c r="CR56" s="748" t="str">
        <f>+CR54</f>
        <v>EX10</v>
      </c>
      <c r="CS56" s="749">
        <v>0.54583333333333328</v>
      </c>
      <c r="CT56" s="750">
        <v>45575</v>
      </c>
      <c r="CU56" s="751">
        <v>129</v>
      </c>
      <c r="CV56" s="751">
        <v>6587</v>
      </c>
      <c r="CW56" s="741">
        <f t="shared" si="31"/>
        <v>65.87</v>
      </c>
      <c r="CX56" s="751">
        <v>6618</v>
      </c>
      <c r="CY56" s="751" t="s">
        <v>67</v>
      </c>
      <c r="CZ56" s="751" t="s">
        <v>609</v>
      </c>
      <c r="DD56" s="700">
        <v>0.56527777777777777</v>
      </c>
      <c r="DE56" s="701">
        <v>45967</v>
      </c>
      <c r="DF56" s="539">
        <v>41</v>
      </c>
      <c r="DG56" s="539"/>
      <c r="DH56" s="742"/>
      <c r="DI56" s="539">
        <v>11034</v>
      </c>
      <c r="DJ56" s="539" t="s">
        <v>168</v>
      </c>
      <c r="DK56" s="539" t="s">
        <v>581</v>
      </c>
      <c r="DN56" s="568" t="s">
        <v>60</v>
      </c>
      <c r="DO56" s="569">
        <v>0.3527777777777778</v>
      </c>
      <c r="DP56" s="570">
        <v>45593</v>
      </c>
      <c r="DQ56" s="568">
        <v>240</v>
      </c>
      <c r="DR56" s="568">
        <v>1052.5</v>
      </c>
      <c r="DS56" s="731">
        <f t="shared" si="2"/>
        <v>4.071661237785016E-2</v>
      </c>
      <c r="DT56" s="568">
        <v>7005</v>
      </c>
      <c r="DU56" s="568" t="s">
        <v>46</v>
      </c>
      <c r="DV56" s="568" t="str">
        <f t="shared" si="41"/>
        <v>PUERTA JARDIN</v>
      </c>
      <c r="DX56" s="355"/>
      <c r="DY56" s="426">
        <v>0.78819444444444442</v>
      </c>
      <c r="DZ56" s="408">
        <v>45848</v>
      </c>
      <c r="EA56" s="385">
        <v>309</v>
      </c>
      <c r="EB56" s="385">
        <v>1291</v>
      </c>
      <c r="EC56" s="389">
        <f t="shared" ref="EC56:EC110" si="42">EB56-EB55</f>
        <v>21</v>
      </c>
      <c r="ED56" s="385">
        <v>10124</v>
      </c>
      <c r="EE56" s="385" t="s">
        <v>308</v>
      </c>
      <c r="EF56" s="385" t="s">
        <v>610</v>
      </c>
      <c r="EG56" s="443" t="s">
        <v>325</v>
      </c>
      <c r="EX56" s="452"/>
      <c r="EY56" s="421">
        <v>45274</v>
      </c>
      <c r="EZ56" s="452">
        <v>96</v>
      </c>
      <c r="FA56" s="452">
        <v>0</v>
      </c>
      <c r="FB56" s="452"/>
      <c r="FC56" s="452">
        <v>7269</v>
      </c>
      <c r="FD56" s="452"/>
      <c r="FE56" s="385"/>
      <c r="FR56" s="531" t="s">
        <v>89</v>
      </c>
      <c r="FS56" s="545">
        <v>0.52777777777777779</v>
      </c>
      <c r="FT56" s="530">
        <v>45588</v>
      </c>
      <c r="FU56" s="531">
        <v>41</v>
      </c>
      <c r="FV56" s="531">
        <v>2859.7</v>
      </c>
      <c r="FW56" s="752">
        <f t="shared" si="37"/>
        <v>31.763333333333332</v>
      </c>
      <c r="FX56" s="531">
        <v>7562</v>
      </c>
      <c r="FY56" s="531" t="str">
        <f>+FY55</f>
        <v>RDS</v>
      </c>
      <c r="FZ56" s="531" t="str">
        <f>+FZ55</f>
        <v>Ivan</v>
      </c>
      <c r="GN56" s="426">
        <v>0.45555555555555555</v>
      </c>
      <c r="GO56" s="408">
        <v>46066</v>
      </c>
      <c r="GP56" s="385">
        <v>46</v>
      </c>
      <c r="GQ56" s="385">
        <v>5565</v>
      </c>
      <c r="GR56" s="662">
        <f t="shared" si="34"/>
        <v>13</v>
      </c>
      <c r="GS56" s="385">
        <v>10457</v>
      </c>
      <c r="GT56" s="385" t="s">
        <v>452</v>
      </c>
      <c r="GU56" s="385" t="s">
        <v>544</v>
      </c>
      <c r="JL56" s="371"/>
      <c r="JM56" s="734"/>
      <c r="JN56" s="734"/>
      <c r="JO56" s="734"/>
      <c r="JP56" s="734"/>
      <c r="JQ56" s="735"/>
      <c r="JR56" s="367"/>
      <c r="JS56" s="367"/>
      <c r="JT56" s="367"/>
      <c r="JU56" s="367"/>
      <c r="KW56" s="736"/>
    </row>
    <row r="57" spans="2:314" ht="15.75" customHeight="1" thickBot="1" x14ac:dyDescent="0.3">
      <c r="R57" s="426">
        <v>0.77569444444444446</v>
      </c>
      <c r="S57" s="408">
        <v>46044</v>
      </c>
      <c r="T57" s="385">
        <v>34</v>
      </c>
      <c r="U57" s="471">
        <v>1082</v>
      </c>
      <c r="V57" s="456">
        <f t="shared" si="39"/>
        <v>0</v>
      </c>
      <c r="W57" s="385">
        <v>10650</v>
      </c>
      <c r="X57" s="385" t="s">
        <v>80</v>
      </c>
      <c r="Y57" s="385" t="s">
        <v>555</v>
      </c>
      <c r="AB57" s="355"/>
      <c r="AC57" s="355"/>
      <c r="AD57" s="355"/>
      <c r="AE57" s="355"/>
      <c r="AF57" s="355"/>
      <c r="AG57" s="355"/>
      <c r="AH57" s="355"/>
      <c r="AI57" s="355"/>
      <c r="AJ57" s="355"/>
      <c r="AK57" s="355"/>
      <c r="AX57" s="355"/>
      <c r="AY57" s="355"/>
      <c r="AZ57" s="355"/>
      <c r="BA57" s="356"/>
      <c r="BB57" s="357"/>
      <c r="BC57" s="357"/>
      <c r="BD57" s="355"/>
      <c r="BE57" s="355"/>
      <c r="BF57" s="355"/>
      <c r="BG57" s="355"/>
      <c r="BH57" s="355"/>
      <c r="BI57" s="355"/>
      <c r="BL57" s="426">
        <v>0.4513888888888889</v>
      </c>
      <c r="BM57" s="408">
        <v>45226</v>
      </c>
      <c r="BN57" s="385">
        <v>160</v>
      </c>
      <c r="BO57" s="385">
        <v>8676</v>
      </c>
      <c r="BP57" s="402">
        <f>(BO57-BO56)/BN56</f>
        <v>144.6</v>
      </c>
      <c r="BQ57" s="440">
        <v>6815</v>
      </c>
      <c r="BR57" s="385"/>
      <c r="BS57" s="385"/>
      <c r="BT57" s="385"/>
      <c r="BU57" s="355"/>
      <c r="BV57" s="743" t="s">
        <v>306</v>
      </c>
      <c r="BW57" s="753">
        <v>0.44305555555555554</v>
      </c>
      <c r="BX57" s="754">
        <v>45267</v>
      </c>
      <c r="BY57" s="755">
        <v>51</v>
      </c>
      <c r="BZ57" s="755">
        <v>9457</v>
      </c>
      <c r="CA57" s="756">
        <f>(BZ57-BZ56)/BY56</f>
        <v>0.20930232558139536</v>
      </c>
      <c r="CB57" s="385">
        <v>7198</v>
      </c>
      <c r="CC57" s="385"/>
      <c r="CD57" s="385"/>
      <c r="CH57" s="426">
        <v>0.60763888888888884</v>
      </c>
      <c r="CI57" s="408">
        <v>45509</v>
      </c>
      <c r="CJ57" s="385">
        <v>169</v>
      </c>
      <c r="CK57" s="385">
        <v>1355</v>
      </c>
      <c r="CL57" s="527">
        <f t="shared" si="17"/>
        <v>13.826530612244898</v>
      </c>
      <c r="CM57" s="440">
        <v>8965</v>
      </c>
      <c r="CN57" s="385" t="s">
        <v>406</v>
      </c>
      <c r="CO57" s="385" t="s">
        <v>390</v>
      </c>
      <c r="CR57" s="748" t="s">
        <v>611</v>
      </c>
      <c r="CS57" s="749">
        <v>0.3298611111111111</v>
      </c>
      <c r="CT57" s="750">
        <v>45594</v>
      </c>
      <c r="CU57" s="751">
        <v>176</v>
      </c>
      <c r="CV57" s="751">
        <v>0</v>
      </c>
      <c r="CW57" s="741">
        <f t="shared" si="31"/>
        <v>-51.062015503875969</v>
      </c>
      <c r="CX57" s="751">
        <v>7020</v>
      </c>
      <c r="CY57" s="751" t="str">
        <f t="shared" ref="CY57:CZ59" si="43">+CY56</f>
        <v>Gustavo</v>
      </c>
      <c r="CZ57" s="751" t="str">
        <f t="shared" si="43"/>
        <v>Privada Escobedo</v>
      </c>
      <c r="DC57" s="409" t="s">
        <v>115</v>
      </c>
      <c r="DD57" s="700">
        <v>0.45277777777777778</v>
      </c>
      <c r="DE57" s="701">
        <v>45971</v>
      </c>
      <c r="DF57" s="539">
        <v>40</v>
      </c>
      <c r="DG57" s="539"/>
      <c r="DH57" s="742">
        <f t="shared" ref="DH57:DH69" si="44">DG57-DG56</f>
        <v>0</v>
      </c>
      <c r="DI57" s="539">
        <v>11152</v>
      </c>
      <c r="DJ57" s="539" t="s">
        <v>168</v>
      </c>
      <c r="DK57" s="539" t="s">
        <v>581</v>
      </c>
      <c r="DN57" s="568" t="str">
        <f>+DN56</f>
        <v>EX13</v>
      </c>
      <c r="DO57" s="569">
        <v>0.64513888888888893</v>
      </c>
      <c r="DP57" s="570">
        <v>45595</v>
      </c>
      <c r="DQ57" s="568">
        <v>304</v>
      </c>
      <c r="DR57" s="568">
        <v>1074.5999999999999</v>
      </c>
      <c r="DS57" s="731">
        <f t="shared" si="2"/>
        <v>9.2083333333332948E-2</v>
      </c>
      <c r="DT57" s="568">
        <v>7033</v>
      </c>
      <c r="DU57" s="568" t="str">
        <f>+DU56</f>
        <v>Rigo</v>
      </c>
      <c r="DV57" s="568" t="str">
        <f t="shared" si="41"/>
        <v>PUERTA JARDIN</v>
      </c>
      <c r="DX57" s="442" t="s">
        <v>286</v>
      </c>
      <c r="DY57" s="426">
        <v>0.4284722222222222</v>
      </c>
      <c r="DZ57" s="408">
        <v>45852</v>
      </c>
      <c r="EA57" s="385">
        <v>205</v>
      </c>
      <c r="EB57" s="385">
        <v>1305</v>
      </c>
      <c r="EC57" s="389">
        <f t="shared" si="42"/>
        <v>14</v>
      </c>
      <c r="ED57" s="385">
        <v>10148</v>
      </c>
      <c r="EE57" s="385" t="s">
        <v>308</v>
      </c>
      <c r="EF57" s="385" t="s">
        <v>610</v>
      </c>
      <c r="EG57" s="470"/>
      <c r="EW57" s="419" t="s">
        <v>63</v>
      </c>
      <c r="EX57" s="426">
        <v>0.54722222222222217</v>
      </c>
      <c r="EY57" s="408">
        <v>45278</v>
      </c>
      <c r="EZ57" s="385">
        <v>89</v>
      </c>
      <c r="FA57" s="385">
        <v>0</v>
      </c>
      <c r="FB57" s="385"/>
      <c r="FC57" s="502">
        <v>7318</v>
      </c>
      <c r="FD57" s="502"/>
      <c r="FE57" s="385"/>
      <c r="FG57" s="607" t="s">
        <v>242</v>
      </c>
      <c r="FH57" s="757"/>
      <c r="FI57" s="598">
        <v>1250</v>
      </c>
      <c r="FR57" s="531" t="s">
        <v>89</v>
      </c>
      <c r="FS57" s="545">
        <v>0.67013888888888884</v>
      </c>
      <c r="FT57" s="530">
        <v>45590</v>
      </c>
      <c r="FU57" s="531">
        <v>37</v>
      </c>
      <c r="FV57" s="531">
        <v>28693</v>
      </c>
      <c r="FW57" s="752">
        <f t="shared" si="37"/>
        <v>486.30508474576271</v>
      </c>
      <c r="FX57" s="531">
        <v>7586</v>
      </c>
      <c r="FY57" s="531" t="s">
        <v>584</v>
      </c>
      <c r="FZ57" s="531" t="s">
        <v>612</v>
      </c>
      <c r="GM57" s="419" t="s">
        <v>321</v>
      </c>
      <c r="GN57" s="426"/>
      <c r="GO57" s="408">
        <v>46069</v>
      </c>
      <c r="GP57" s="385">
        <v>10</v>
      </c>
      <c r="GQ57" s="471">
        <v>5565</v>
      </c>
      <c r="GR57" s="662">
        <f t="shared" si="34"/>
        <v>0</v>
      </c>
      <c r="GS57" s="385">
        <v>10477</v>
      </c>
      <c r="GT57" s="385" t="s">
        <v>452</v>
      </c>
      <c r="GU57" s="385" t="s">
        <v>544</v>
      </c>
      <c r="JL57" s="371"/>
      <c r="JM57" s="734"/>
      <c r="JN57" s="734"/>
      <c r="JO57" s="734"/>
      <c r="JP57" s="734"/>
      <c r="JQ57" s="735"/>
      <c r="JR57" s="367"/>
      <c r="JS57" s="367"/>
      <c r="JT57" s="367"/>
      <c r="JU57" s="367"/>
      <c r="KW57" s="736"/>
    </row>
    <row r="58" spans="2:314" ht="15.75" customHeight="1" thickBot="1" x14ac:dyDescent="0.3">
      <c r="Q58" s="409" t="s">
        <v>86</v>
      </c>
      <c r="R58" s="426">
        <v>0.23958333333333334</v>
      </c>
      <c r="S58" s="408">
        <v>46051</v>
      </c>
      <c r="T58" s="385">
        <v>26</v>
      </c>
      <c r="U58" s="471">
        <v>1082</v>
      </c>
      <c r="V58" s="456">
        <f t="shared" si="39"/>
        <v>0</v>
      </c>
      <c r="W58" s="385">
        <v>10683</v>
      </c>
      <c r="X58" s="385" t="s">
        <v>117</v>
      </c>
      <c r="Y58" s="385" t="s">
        <v>555</v>
      </c>
      <c r="AB58" s="355"/>
      <c r="AC58" s="355"/>
      <c r="AD58" s="355"/>
      <c r="AE58" s="355"/>
      <c r="AF58" s="355"/>
      <c r="AG58" s="355"/>
      <c r="AH58" s="355"/>
      <c r="AI58" s="355"/>
      <c r="AJ58" s="355"/>
      <c r="AK58" s="355"/>
      <c r="AX58" s="355"/>
      <c r="AY58" s="355"/>
      <c r="AZ58" s="355"/>
      <c r="BA58" s="356"/>
      <c r="BB58" s="357"/>
      <c r="BC58" s="357"/>
      <c r="BD58" s="355"/>
      <c r="BE58" s="355"/>
      <c r="BF58" s="355"/>
      <c r="BG58" s="355"/>
      <c r="BH58" s="355"/>
      <c r="BI58" s="355"/>
      <c r="BK58" s="737" t="s">
        <v>503</v>
      </c>
      <c r="BL58" s="426">
        <v>0.56944444444444442</v>
      </c>
      <c r="BM58" s="408">
        <v>45233</v>
      </c>
      <c r="BN58" s="385">
        <v>157</v>
      </c>
      <c r="BO58" s="385">
        <v>8706</v>
      </c>
      <c r="BP58" s="402">
        <f>(BO58-BO57)/BN57</f>
        <v>0.1875</v>
      </c>
      <c r="BQ58" s="440">
        <v>6882</v>
      </c>
      <c r="BR58" s="385"/>
      <c r="BS58" s="385"/>
      <c r="BT58" s="385"/>
      <c r="BU58" s="355"/>
      <c r="BV58" s="743" t="s">
        <v>306</v>
      </c>
      <c r="BW58" s="451">
        <v>0.4861111111111111</v>
      </c>
      <c r="BX58" s="421">
        <v>45279</v>
      </c>
      <c r="BY58" s="452">
        <v>116</v>
      </c>
      <c r="BZ58" s="452">
        <v>9483</v>
      </c>
      <c r="CA58" s="692">
        <f>(BZ58-BZ57)/BY57</f>
        <v>0.50980392156862742</v>
      </c>
      <c r="CB58" s="452">
        <v>7329</v>
      </c>
      <c r="CC58" s="452"/>
      <c r="CD58" s="385"/>
      <c r="CH58" s="426">
        <v>0.53472222222222221</v>
      </c>
      <c r="CI58" s="408">
        <v>45511</v>
      </c>
      <c r="CJ58" s="385">
        <v>117</v>
      </c>
      <c r="CK58" s="385">
        <v>1369</v>
      </c>
      <c r="CL58" s="527">
        <f t="shared" si="17"/>
        <v>8.2840236686390539E-2</v>
      </c>
      <c r="CM58" s="440">
        <v>8819</v>
      </c>
      <c r="CN58" s="385" t="s">
        <v>406</v>
      </c>
      <c r="CO58" s="385" t="s">
        <v>390</v>
      </c>
      <c r="CR58" s="748" t="str">
        <f>+CR57</f>
        <v>EX 10</v>
      </c>
      <c r="CS58" s="749">
        <v>0.40902777777777777</v>
      </c>
      <c r="CT58" s="750">
        <v>45602</v>
      </c>
      <c r="CU58" s="751">
        <v>136</v>
      </c>
      <c r="CV58" s="751">
        <v>6642</v>
      </c>
      <c r="CW58" s="741">
        <f t="shared" si="31"/>
        <v>37.738636363636367</v>
      </c>
      <c r="CX58" s="751">
        <v>7272</v>
      </c>
      <c r="CY58" s="751" t="str">
        <f t="shared" si="43"/>
        <v>Gustavo</v>
      </c>
      <c r="CZ58" s="751" t="str">
        <f t="shared" si="43"/>
        <v>Privada Escobedo</v>
      </c>
      <c r="DD58" s="700">
        <v>0.63472222222222219</v>
      </c>
      <c r="DE58" s="701">
        <v>45973</v>
      </c>
      <c r="DF58" s="539">
        <v>60</v>
      </c>
      <c r="DG58" s="539"/>
      <c r="DH58" s="742">
        <f t="shared" si="44"/>
        <v>0</v>
      </c>
      <c r="DI58" s="539">
        <v>11169</v>
      </c>
      <c r="DJ58" s="539" t="s">
        <v>168</v>
      </c>
      <c r="DK58" s="539" t="s">
        <v>581</v>
      </c>
      <c r="DN58" s="568" t="s">
        <v>60</v>
      </c>
      <c r="DO58" s="569">
        <v>0.62222222222222223</v>
      </c>
      <c r="DP58" s="570">
        <v>45597</v>
      </c>
      <c r="DQ58" s="568">
        <v>220</v>
      </c>
      <c r="DR58" s="568">
        <v>1090</v>
      </c>
      <c r="DS58" s="731">
        <f t="shared" si="2"/>
        <v>5.0657894736842402E-2</v>
      </c>
      <c r="DT58" s="568">
        <v>7262</v>
      </c>
      <c r="DU58" s="568" t="str">
        <f>+DU57</f>
        <v>Rigo</v>
      </c>
      <c r="DV58" s="568" t="str">
        <f t="shared" si="41"/>
        <v>PUERTA JARDIN</v>
      </c>
      <c r="DY58" s="451">
        <v>0.5</v>
      </c>
      <c r="DZ58" s="421">
        <v>45855</v>
      </c>
      <c r="EA58" s="452">
        <v>297</v>
      </c>
      <c r="EB58" s="452">
        <v>1331</v>
      </c>
      <c r="EC58" s="389">
        <f t="shared" si="42"/>
        <v>26</v>
      </c>
      <c r="ED58" s="452">
        <v>10167</v>
      </c>
      <c r="EE58" s="452" t="s">
        <v>308</v>
      </c>
      <c r="EF58" s="452" t="s">
        <v>610</v>
      </c>
      <c r="EG58" s="519"/>
      <c r="EX58" s="426">
        <v>0.35416666666666669</v>
      </c>
      <c r="EY58" s="408">
        <v>45281</v>
      </c>
      <c r="EZ58" s="385">
        <v>60</v>
      </c>
      <c r="FA58" s="385">
        <v>0</v>
      </c>
      <c r="FB58" s="385"/>
      <c r="FC58" s="668">
        <v>4583</v>
      </c>
      <c r="FD58" s="668"/>
      <c r="FE58" s="385"/>
      <c r="FG58" s="671" t="s">
        <v>438</v>
      </c>
      <c r="FH58" s="757"/>
      <c r="FI58" s="598">
        <v>1040</v>
      </c>
      <c r="FJ58" s="566">
        <v>46093</v>
      </c>
      <c r="FR58" s="531" t="s">
        <v>89</v>
      </c>
      <c r="FS58" s="545">
        <v>0.33888888888888891</v>
      </c>
      <c r="FT58" s="530">
        <v>45591</v>
      </c>
      <c r="FU58" s="531">
        <v>60</v>
      </c>
      <c r="FV58" s="531">
        <v>0</v>
      </c>
      <c r="FW58" s="752">
        <f t="shared" si="37"/>
        <v>-69.748780487804879</v>
      </c>
      <c r="FX58" s="531">
        <v>6817</v>
      </c>
      <c r="FY58" s="531" t="str">
        <f>+FY57</f>
        <v>callejon d los ayala</v>
      </c>
      <c r="FZ58" s="531" t="str">
        <f>+FZ57</f>
        <v>Jesus A</v>
      </c>
      <c r="GN58" s="758">
        <v>0.50347222222222221</v>
      </c>
      <c r="GO58" s="759">
        <v>46072</v>
      </c>
      <c r="GP58" s="760">
        <v>61</v>
      </c>
      <c r="GQ58" s="761">
        <v>5565</v>
      </c>
      <c r="GR58" s="760"/>
      <c r="GS58" s="760">
        <v>9713</v>
      </c>
      <c r="GT58" s="760" t="s">
        <v>452</v>
      </c>
      <c r="GU58" s="760" t="s">
        <v>544</v>
      </c>
      <c r="JL58" s="371"/>
      <c r="JM58" s="734"/>
      <c r="JN58" s="734"/>
      <c r="JO58" s="734"/>
      <c r="JP58" s="734"/>
      <c r="JQ58" s="735"/>
      <c r="JR58" s="367"/>
      <c r="JS58" s="367"/>
      <c r="JT58" s="367"/>
      <c r="JU58" s="367"/>
      <c r="KW58" s="736"/>
    </row>
    <row r="59" spans="2:314" ht="15.75" customHeight="1" thickBot="1" x14ac:dyDescent="0.3">
      <c r="Q59" s="409" t="s">
        <v>86</v>
      </c>
      <c r="R59" s="426">
        <v>0.53333333333333333</v>
      </c>
      <c r="S59" s="408">
        <v>46056</v>
      </c>
      <c r="T59" s="385">
        <v>35</v>
      </c>
      <c r="U59" s="471">
        <v>1082</v>
      </c>
      <c r="V59" s="456">
        <f t="shared" si="39"/>
        <v>0</v>
      </c>
      <c r="W59" s="385">
        <v>10405</v>
      </c>
      <c r="X59" s="385" t="s">
        <v>117</v>
      </c>
      <c r="Y59" s="385" t="s">
        <v>555</v>
      </c>
      <c r="AB59" s="355"/>
      <c r="AC59" s="355"/>
      <c r="AD59" s="355"/>
      <c r="AE59" s="355"/>
      <c r="AF59" s="355"/>
      <c r="AG59" s="355"/>
      <c r="AH59" s="355"/>
      <c r="AI59" s="355"/>
      <c r="AJ59" s="355"/>
      <c r="AK59" s="355"/>
      <c r="AX59" s="355"/>
      <c r="AY59" s="355"/>
      <c r="AZ59" s="355"/>
      <c r="BA59" s="356"/>
      <c r="BB59" s="357"/>
      <c r="BC59" s="357"/>
      <c r="BD59" s="355"/>
      <c r="BE59" s="355"/>
      <c r="BF59" s="355"/>
      <c r="BG59" s="355"/>
      <c r="BH59" s="355"/>
      <c r="BI59" s="355"/>
      <c r="BK59" s="737" t="s">
        <v>503</v>
      </c>
      <c r="BL59" s="426">
        <v>0.69791666666666663</v>
      </c>
      <c r="BM59" s="408">
        <v>45238</v>
      </c>
      <c r="BN59" s="385">
        <v>59</v>
      </c>
      <c r="BO59" s="385">
        <v>8728</v>
      </c>
      <c r="BP59" s="402">
        <f t="shared" ref="BP59:BP70" si="45">(BO59-BO58)/BN58</f>
        <v>0.14012738853503184</v>
      </c>
      <c r="BQ59" s="440">
        <v>6938</v>
      </c>
      <c r="BR59" s="385"/>
      <c r="BS59" s="385"/>
      <c r="BT59" s="385"/>
      <c r="BU59" s="355"/>
      <c r="BV59" s="743"/>
      <c r="BW59" s="451"/>
      <c r="BX59" s="421"/>
      <c r="BY59" s="452"/>
      <c r="BZ59" s="452"/>
      <c r="CA59" s="692"/>
      <c r="CB59" s="452"/>
      <c r="CC59" s="452"/>
      <c r="CD59" s="385"/>
      <c r="CH59" s="451">
        <v>0.53402777777777777</v>
      </c>
      <c r="CI59" s="421">
        <v>45512</v>
      </c>
      <c r="CJ59" s="452">
        <v>62</v>
      </c>
      <c r="CK59" s="452">
        <v>1378</v>
      </c>
      <c r="CL59" s="527">
        <f t="shared" si="17"/>
        <v>7.6923076923076927E-2</v>
      </c>
      <c r="CM59" s="476">
        <v>8835</v>
      </c>
      <c r="CN59" s="452" t="s">
        <v>406</v>
      </c>
      <c r="CO59" s="452" t="s">
        <v>390</v>
      </c>
      <c r="CR59" s="762" t="s">
        <v>310</v>
      </c>
      <c r="CS59" s="763">
        <v>0.51875000000000004</v>
      </c>
      <c r="CT59" s="764">
        <v>45621</v>
      </c>
      <c r="CU59" s="765">
        <v>137</v>
      </c>
      <c r="CV59" s="765">
        <v>6655.7</v>
      </c>
      <c r="CW59" s="741">
        <f t="shared" si="31"/>
        <v>0.10073529411764572</v>
      </c>
      <c r="CX59" s="765">
        <v>7695</v>
      </c>
      <c r="CY59" s="765" t="str">
        <f t="shared" si="43"/>
        <v>Gustavo</v>
      </c>
      <c r="CZ59" s="765" t="str">
        <f t="shared" si="43"/>
        <v>Privada Escobedo</v>
      </c>
      <c r="DC59" s="409" t="s">
        <v>115</v>
      </c>
      <c r="DD59" s="700">
        <v>0.36388888888888887</v>
      </c>
      <c r="DE59" s="701">
        <v>45979</v>
      </c>
      <c r="DF59" s="539">
        <v>62</v>
      </c>
      <c r="DG59" s="539"/>
      <c r="DH59" s="742">
        <f t="shared" si="44"/>
        <v>0</v>
      </c>
      <c r="DI59" s="539">
        <v>11195</v>
      </c>
      <c r="DJ59" s="539" t="s">
        <v>168</v>
      </c>
      <c r="DK59" s="539" t="s">
        <v>581</v>
      </c>
      <c r="DN59" s="568" t="s">
        <v>60</v>
      </c>
      <c r="DO59" s="569">
        <v>0.50347222222222221</v>
      </c>
      <c r="DP59" s="570">
        <v>45598</v>
      </c>
      <c r="DQ59" s="568">
        <v>388</v>
      </c>
      <c r="DR59" s="568">
        <v>1093.01</v>
      </c>
      <c r="DS59" s="731">
        <f t="shared" si="2"/>
        <v>1.3681818181818141E-2</v>
      </c>
      <c r="DT59" s="568">
        <v>7765</v>
      </c>
      <c r="DU59" s="568" t="str">
        <f>+DU58</f>
        <v>Rigo</v>
      </c>
      <c r="DV59" s="568" t="str">
        <f t="shared" si="41"/>
        <v>PUERTA JARDIN</v>
      </c>
      <c r="DX59" s="442" t="s">
        <v>286</v>
      </c>
      <c r="DY59" s="426">
        <v>0.31944444444444442</v>
      </c>
      <c r="DZ59" s="408">
        <v>45860</v>
      </c>
      <c r="EA59" s="385">
        <v>292</v>
      </c>
      <c r="EB59" s="385">
        <v>1353</v>
      </c>
      <c r="EC59" s="389">
        <f t="shared" si="42"/>
        <v>22</v>
      </c>
      <c r="ED59" s="385">
        <v>10206</v>
      </c>
      <c r="EE59" s="385" t="s">
        <v>308</v>
      </c>
      <c r="EF59" s="385" t="s">
        <v>613</v>
      </c>
      <c r="EG59" s="470"/>
      <c r="EW59" s="419" t="s">
        <v>63</v>
      </c>
      <c r="EX59" s="426">
        <v>0.48958333333333331</v>
      </c>
      <c r="EY59" s="408">
        <v>45649</v>
      </c>
      <c r="EZ59" s="385">
        <v>60</v>
      </c>
      <c r="FA59" s="385">
        <v>0</v>
      </c>
      <c r="FB59" s="385"/>
      <c r="FC59" s="385">
        <v>7371</v>
      </c>
      <c r="FD59" s="385"/>
      <c r="FE59" s="385"/>
      <c r="FG59" s="597" t="s">
        <v>614</v>
      </c>
      <c r="FH59" s="664"/>
      <c r="FI59" s="598">
        <v>715</v>
      </c>
      <c r="FJ59" s="566">
        <v>45972</v>
      </c>
      <c r="FR59" s="531" t="s">
        <v>89</v>
      </c>
      <c r="FS59" s="531">
        <v>10.59</v>
      </c>
      <c r="FT59" s="530">
        <v>45602</v>
      </c>
      <c r="FU59" s="531">
        <v>75</v>
      </c>
      <c r="FV59" s="531">
        <v>28990</v>
      </c>
      <c r="FW59" s="752">
        <f t="shared" si="37"/>
        <v>8.0270270270270263</v>
      </c>
      <c r="FX59" s="531">
        <v>7264</v>
      </c>
      <c r="FY59" s="531" t="str">
        <f>+FY58</f>
        <v>callejon d los ayala</v>
      </c>
      <c r="FZ59" s="531" t="s">
        <v>615</v>
      </c>
      <c r="GM59" s="419" t="s">
        <v>321</v>
      </c>
      <c r="GN59" s="491">
        <v>0.76875000000000004</v>
      </c>
      <c r="GO59" s="513">
        <v>46078</v>
      </c>
      <c r="GP59" s="469">
        <v>38</v>
      </c>
      <c r="GQ59" s="469">
        <v>5608</v>
      </c>
      <c r="GR59" s="766">
        <f>GQ59-GQ58</f>
        <v>43</v>
      </c>
      <c r="GS59" s="469">
        <v>13316</v>
      </c>
      <c r="GT59" s="469" t="s">
        <v>452</v>
      </c>
      <c r="GU59" s="469" t="s">
        <v>544</v>
      </c>
      <c r="JL59" s="371"/>
      <c r="JM59" s="734"/>
      <c r="JN59" s="734"/>
      <c r="JO59" s="734"/>
      <c r="JP59" s="734"/>
      <c r="JQ59" s="735"/>
      <c r="JR59" s="367"/>
      <c r="JS59" s="367"/>
      <c r="JT59" s="367"/>
      <c r="JU59" s="367"/>
      <c r="KW59" s="736"/>
    </row>
    <row r="60" spans="2:314" ht="16.5" thickBot="1" x14ac:dyDescent="0.3">
      <c r="B60" s="354"/>
      <c r="C60" s="354"/>
      <c r="D60" s="354"/>
      <c r="E60" s="354"/>
      <c r="F60" s="354"/>
      <c r="G60" s="354"/>
      <c r="H60" s="354"/>
      <c r="I60" s="354"/>
      <c r="R60" s="426">
        <v>0.68888888888888888</v>
      </c>
      <c r="S60" s="408">
        <v>46059</v>
      </c>
      <c r="T60" s="385">
        <v>32</v>
      </c>
      <c r="U60" s="385">
        <v>1167</v>
      </c>
      <c r="V60" s="456">
        <f t="shared" si="39"/>
        <v>85</v>
      </c>
      <c r="W60" s="385">
        <v>10508</v>
      </c>
      <c r="X60" s="385" t="s">
        <v>117</v>
      </c>
      <c r="Y60" s="385" t="s">
        <v>555</v>
      </c>
      <c r="BL60" s="551">
        <v>0.51388888888888895</v>
      </c>
      <c r="BM60" s="552">
        <v>45239</v>
      </c>
      <c r="BN60" s="393">
        <v>28</v>
      </c>
      <c r="BO60" s="393">
        <v>0</v>
      </c>
      <c r="BP60" s="402">
        <f t="shared" si="45"/>
        <v>-147.93220338983051</v>
      </c>
      <c r="BQ60" s="767">
        <v>4460</v>
      </c>
      <c r="BR60" s="385"/>
      <c r="BS60" s="385"/>
      <c r="BT60" s="385"/>
      <c r="BU60" s="355"/>
      <c r="BV60" s="743" t="s">
        <v>306</v>
      </c>
      <c r="BW60" s="452"/>
      <c r="BX60" s="421">
        <v>45654</v>
      </c>
      <c r="BY60" s="452">
        <v>110</v>
      </c>
      <c r="BZ60" s="452">
        <v>9507.6</v>
      </c>
      <c r="CA60" s="692">
        <f>(BZ60-BZ58)/BY58</f>
        <v>0.21206896551724452</v>
      </c>
      <c r="CB60" s="452">
        <v>7392</v>
      </c>
      <c r="CC60" s="452"/>
      <c r="CD60" s="385"/>
      <c r="CG60" s="442" t="s">
        <v>307</v>
      </c>
      <c r="CH60" s="426">
        <v>0.51388888888888884</v>
      </c>
      <c r="CI60" s="408">
        <v>45514</v>
      </c>
      <c r="CJ60" s="385">
        <v>138</v>
      </c>
      <c r="CK60" s="385">
        <v>1393</v>
      </c>
      <c r="CL60" s="527">
        <f t="shared" si="17"/>
        <v>0.24193548387096775</v>
      </c>
      <c r="CM60" s="440">
        <v>8977</v>
      </c>
      <c r="CN60" s="385" t="s">
        <v>406</v>
      </c>
      <c r="CO60" s="385" t="s">
        <v>390</v>
      </c>
      <c r="CR60" s="531" t="str">
        <f>+CR59</f>
        <v>EX10</v>
      </c>
      <c r="CS60" s="545">
        <v>0.34722222222222221</v>
      </c>
      <c r="CT60" s="530">
        <v>45674</v>
      </c>
      <c r="CU60" s="531">
        <v>20</v>
      </c>
      <c r="CV60" s="531">
        <v>0</v>
      </c>
      <c r="CW60" s="768">
        <f t="shared" si="31"/>
        <v>-48.581751824817516</v>
      </c>
      <c r="CX60" s="531">
        <v>8218</v>
      </c>
      <c r="CY60" s="531" t="str">
        <f>+CY59</f>
        <v>Gustavo</v>
      </c>
      <c r="CZ60" s="531" t="str">
        <f>+CZ59</f>
        <v>Privada Escobedo</v>
      </c>
      <c r="DD60" s="700">
        <v>0.41458333333333336</v>
      </c>
      <c r="DE60" s="701">
        <v>45982</v>
      </c>
      <c r="DF60" s="539">
        <v>62</v>
      </c>
      <c r="DG60" s="539"/>
      <c r="DH60" s="742">
        <f t="shared" si="44"/>
        <v>0</v>
      </c>
      <c r="DI60" s="539">
        <v>11068</v>
      </c>
      <c r="DJ60" s="539" t="s">
        <v>168</v>
      </c>
      <c r="DK60" s="539" t="s">
        <v>581</v>
      </c>
      <c r="DN60" s="568" t="s">
        <v>60</v>
      </c>
      <c r="DO60" s="569">
        <v>0.64652777777777781</v>
      </c>
      <c r="DP60" s="570">
        <v>45602</v>
      </c>
      <c r="DQ60" s="568">
        <v>375</v>
      </c>
      <c r="DR60" s="568">
        <v>1110</v>
      </c>
      <c r="DS60" s="731">
        <f t="shared" si="2"/>
        <v>4.3788659793814459E-2</v>
      </c>
      <c r="DT60" s="568">
        <v>7274</v>
      </c>
      <c r="DU60" s="568" t="str">
        <f>+DU59</f>
        <v>Rigo</v>
      </c>
      <c r="DV60" s="568" t="str">
        <f t="shared" si="41"/>
        <v>PUERTA JARDIN</v>
      </c>
      <c r="DY60" s="451">
        <v>0.50694444444444442</v>
      </c>
      <c r="DZ60" s="421">
        <v>45863</v>
      </c>
      <c r="EA60" s="452">
        <v>256</v>
      </c>
      <c r="EB60" s="452">
        <v>1372</v>
      </c>
      <c r="EC60" s="527">
        <f t="shared" si="42"/>
        <v>19</v>
      </c>
      <c r="ED60" s="452">
        <v>10310</v>
      </c>
      <c r="EE60" s="452" t="s">
        <v>308</v>
      </c>
      <c r="EF60" s="452" t="s">
        <v>613</v>
      </c>
      <c r="EG60" s="519" t="s">
        <v>616</v>
      </c>
      <c r="EX60" s="426">
        <v>0.70833333333333337</v>
      </c>
      <c r="EY60" s="408">
        <v>45654</v>
      </c>
      <c r="EZ60" s="385">
        <v>60</v>
      </c>
      <c r="FA60" s="385">
        <v>0</v>
      </c>
      <c r="FB60" s="385"/>
      <c r="FC60" s="385">
        <v>7394</v>
      </c>
      <c r="FD60" s="385"/>
      <c r="FE60" s="385"/>
      <c r="FG60" s="597" t="s">
        <v>614</v>
      </c>
      <c r="FH60" s="664"/>
      <c r="FI60" s="598">
        <v>522</v>
      </c>
      <c r="FJ60" s="566">
        <v>45908</v>
      </c>
      <c r="FR60" s="531" t="s">
        <v>89</v>
      </c>
      <c r="FS60" s="545">
        <v>0.53819444444444442</v>
      </c>
      <c r="FT60" s="530">
        <v>45604</v>
      </c>
      <c r="FU60" s="531">
        <v>71</v>
      </c>
      <c r="FV60" s="531">
        <v>29150</v>
      </c>
      <c r="FW60" s="752">
        <f t="shared" si="37"/>
        <v>485.83333333333331</v>
      </c>
      <c r="FX60" s="531">
        <v>7284</v>
      </c>
      <c r="FY60" s="531" t="str">
        <f>+FY59</f>
        <v>callejon d los ayala</v>
      </c>
      <c r="FZ60" s="531" t="str">
        <f>+FZ59</f>
        <v>YOSUHA</v>
      </c>
      <c r="JL60" s="379" t="s">
        <v>617</v>
      </c>
      <c r="JM60" s="769"/>
      <c r="JN60" s="770">
        <v>45111</v>
      </c>
      <c r="JO60" s="771">
        <v>77</v>
      </c>
      <c r="JP60" s="772">
        <v>160051</v>
      </c>
      <c r="JQ60" s="773"/>
      <c r="JU60" s="774" t="s">
        <v>606</v>
      </c>
    </row>
    <row r="61" spans="2:314" ht="16.5" thickBot="1" x14ac:dyDescent="0.3">
      <c r="B61" s="354"/>
      <c r="C61" s="354"/>
      <c r="D61" s="354"/>
      <c r="E61" s="354"/>
      <c r="F61" s="354"/>
      <c r="G61" s="354"/>
      <c r="H61" s="354"/>
      <c r="I61" s="354"/>
      <c r="R61" s="678"/>
      <c r="S61" s="679">
        <v>46063</v>
      </c>
      <c r="T61" s="385">
        <v>20</v>
      </c>
      <c r="U61" s="680">
        <v>1167</v>
      </c>
      <c r="V61" s="775">
        <f t="shared" si="39"/>
        <v>0</v>
      </c>
      <c r="W61" s="682" t="s">
        <v>618</v>
      </c>
      <c r="X61" s="682"/>
      <c r="Y61" s="682" t="s">
        <v>555</v>
      </c>
      <c r="BJ61" s="776" t="s">
        <v>589</v>
      </c>
      <c r="BK61" s="777" t="s">
        <v>503</v>
      </c>
      <c r="BL61" s="707">
        <v>0.53402777777777777</v>
      </c>
      <c r="BM61" s="708">
        <v>45243</v>
      </c>
      <c r="BN61" s="709">
        <v>155</v>
      </c>
      <c r="BO61" s="710">
        <v>8747</v>
      </c>
      <c r="BP61" s="778">
        <f t="shared" si="45"/>
        <v>312.39285714285717</v>
      </c>
      <c r="BQ61" s="440">
        <v>6794</v>
      </c>
      <c r="BR61" s="385"/>
      <c r="BS61" s="385"/>
      <c r="BT61" s="385"/>
      <c r="BU61" s="355"/>
      <c r="BV61" s="743" t="s">
        <v>306</v>
      </c>
      <c r="BW61" s="452"/>
      <c r="BX61" s="421">
        <v>45296</v>
      </c>
      <c r="BY61" s="452">
        <v>99</v>
      </c>
      <c r="BZ61" s="452">
        <v>9524.7999999999993</v>
      </c>
      <c r="CA61" s="692">
        <f t="shared" ref="CA61:CA84" si="46">(BZ61-BZ60)/BY60</f>
        <v>0.15636363636362643</v>
      </c>
      <c r="CB61" s="452">
        <v>7519</v>
      </c>
      <c r="CC61" s="452"/>
      <c r="CD61" s="385"/>
      <c r="CH61" s="426">
        <v>0.54166666666666663</v>
      </c>
      <c r="CI61" s="408">
        <v>45517</v>
      </c>
      <c r="CJ61" s="385">
        <v>143</v>
      </c>
      <c r="CK61" s="385">
        <v>1408</v>
      </c>
      <c r="CL61" s="527">
        <f t="shared" si="17"/>
        <v>0.10869565217391304</v>
      </c>
      <c r="CM61" s="440">
        <v>8987</v>
      </c>
      <c r="CN61" s="385" t="s">
        <v>46</v>
      </c>
      <c r="CO61" s="385" t="s">
        <v>390</v>
      </c>
      <c r="CR61" s="762" t="s">
        <v>310</v>
      </c>
      <c r="CS61" s="551">
        <v>0.37708333333333333</v>
      </c>
      <c r="CT61" s="552">
        <v>45679</v>
      </c>
      <c r="CU61" s="393">
        <v>230</v>
      </c>
      <c r="CV61" s="393">
        <v>6684</v>
      </c>
      <c r="CW61" s="393">
        <f>+(CV61-CV60)/CU60</f>
        <v>334.2</v>
      </c>
      <c r="CX61" s="348">
        <v>8218</v>
      </c>
      <c r="CY61" s="393" t="s">
        <v>308</v>
      </c>
      <c r="CZ61" s="393" t="s">
        <v>609</v>
      </c>
      <c r="DC61" s="409" t="s">
        <v>115</v>
      </c>
      <c r="DD61" s="700">
        <v>0.55625000000000002</v>
      </c>
      <c r="DE61" s="701">
        <v>45986</v>
      </c>
      <c r="DF61" s="539">
        <v>47</v>
      </c>
      <c r="DG61" s="539"/>
      <c r="DH61" s="742">
        <f t="shared" si="44"/>
        <v>0</v>
      </c>
      <c r="DI61" s="539">
        <v>11091</v>
      </c>
      <c r="DJ61" s="539" t="s">
        <v>168</v>
      </c>
      <c r="DK61" s="539" t="s">
        <v>581</v>
      </c>
      <c r="DN61" s="568" t="str">
        <f>+DN60</f>
        <v>EX13</v>
      </c>
      <c r="DO61" s="569">
        <v>0.65763888888888888</v>
      </c>
      <c r="DP61" s="570">
        <v>45604</v>
      </c>
      <c r="DQ61" s="568">
        <v>348</v>
      </c>
      <c r="DR61" s="568">
        <v>1128</v>
      </c>
      <c r="DS61" s="731">
        <f t="shared" si="2"/>
        <v>4.8000000000000001E-2</v>
      </c>
      <c r="DT61" s="568">
        <v>7300</v>
      </c>
      <c r="DU61" s="568" t="str">
        <f>+DU60</f>
        <v>Rigo</v>
      </c>
      <c r="DV61" s="568" t="str">
        <f t="shared" si="41"/>
        <v>PUERTA JARDIN</v>
      </c>
      <c r="DX61" s="442" t="s">
        <v>286</v>
      </c>
      <c r="DY61" s="426">
        <v>0.73055555555555551</v>
      </c>
      <c r="DZ61" s="408">
        <v>45867</v>
      </c>
      <c r="EA61" s="385">
        <v>324</v>
      </c>
      <c r="EB61" s="385">
        <v>1372</v>
      </c>
      <c r="EC61" s="389">
        <f t="shared" si="42"/>
        <v>0</v>
      </c>
      <c r="ED61" s="385">
        <v>10346</v>
      </c>
      <c r="EE61" s="385" t="s">
        <v>308</v>
      </c>
      <c r="EF61" s="385" t="s">
        <v>582</v>
      </c>
      <c r="EG61" s="470"/>
      <c r="EW61" s="419" t="s">
        <v>63</v>
      </c>
      <c r="EX61" s="451">
        <v>0.44444444444444442</v>
      </c>
      <c r="EY61" s="421">
        <v>45302</v>
      </c>
      <c r="EZ61" s="452">
        <v>121</v>
      </c>
      <c r="FA61" s="452">
        <v>0</v>
      </c>
      <c r="FB61" s="452"/>
      <c r="FC61" s="452">
        <v>7682</v>
      </c>
      <c r="FD61" s="452"/>
      <c r="FE61" s="385"/>
      <c r="FG61" s="597" t="s">
        <v>614</v>
      </c>
      <c r="FH61" s="664"/>
      <c r="FI61" s="598">
        <v>250</v>
      </c>
      <c r="FR61" s="531" t="str">
        <f>+FR60</f>
        <v>R04</v>
      </c>
      <c r="FS61" s="545">
        <v>0.3611111111111111</v>
      </c>
      <c r="FT61" s="530">
        <v>45609</v>
      </c>
      <c r="FU61" s="531">
        <v>54</v>
      </c>
      <c r="FV61" s="531">
        <v>29340</v>
      </c>
      <c r="FW61" s="779">
        <f t="shared" si="37"/>
        <v>4.666666666666667</v>
      </c>
      <c r="FX61" s="531">
        <v>7892</v>
      </c>
      <c r="FY61" s="531" t="str">
        <f>+FY60</f>
        <v>callejon d los ayala</v>
      </c>
      <c r="FZ61" s="531" t="str">
        <f>+FZ60</f>
        <v>YOSUHA</v>
      </c>
      <c r="JL61" s="780"/>
      <c r="JM61" s="781" t="s">
        <v>619</v>
      </c>
      <c r="JN61" s="782">
        <v>45335</v>
      </c>
      <c r="JO61" s="783">
        <v>100</v>
      </c>
      <c r="JP61" s="784"/>
      <c r="JQ61" s="785"/>
      <c r="JR61" s="785"/>
      <c r="JS61" s="785"/>
      <c r="JT61" s="785"/>
      <c r="JU61" s="784">
        <v>4802</v>
      </c>
    </row>
    <row r="62" spans="2:314" ht="16.5" thickBot="1" x14ac:dyDescent="0.3">
      <c r="B62" s="362" t="s">
        <v>296</v>
      </c>
      <c r="C62" s="362"/>
      <c r="D62" s="362" t="s">
        <v>28</v>
      </c>
      <c r="E62" s="362" t="s">
        <v>23</v>
      </c>
      <c r="F62" s="362" t="s">
        <v>207</v>
      </c>
      <c r="G62" s="362" t="s">
        <v>26</v>
      </c>
      <c r="H62" s="362" t="s">
        <v>620</v>
      </c>
      <c r="I62" s="362" t="s">
        <v>211</v>
      </c>
      <c r="Q62" s="409" t="s">
        <v>86</v>
      </c>
      <c r="R62" s="487"/>
      <c r="S62" s="488">
        <v>46072</v>
      </c>
      <c r="T62" s="410">
        <v>33</v>
      </c>
      <c r="U62" s="571">
        <v>1199</v>
      </c>
      <c r="V62" s="786">
        <f>U62-U60</f>
        <v>32</v>
      </c>
      <c r="W62" s="410">
        <v>9711</v>
      </c>
      <c r="X62" s="410"/>
      <c r="Y62" s="410" t="s">
        <v>116</v>
      </c>
      <c r="BL62" s="600">
        <v>0.625</v>
      </c>
      <c r="BM62" s="601">
        <v>45247</v>
      </c>
      <c r="BN62" s="377">
        <v>178</v>
      </c>
      <c r="BO62" s="377"/>
      <c r="BP62" s="402">
        <f t="shared" si="45"/>
        <v>-56.432258064516127</v>
      </c>
      <c r="BQ62" s="440">
        <v>7011</v>
      </c>
      <c r="BR62" s="385"/>
      <c r="BS62" s="385"/>
      <c r="BT62" s="385"/>
      <c r="BU62" s="355"/>
      <c r="BV62" s="743" t="s">
        <v>306</v>
      </c>
      <c r="BW62" s="385"/>
      <c r="BX62" s="408">
        <v>45302</v>
      </c>
      <c r="BY62" s="385">
        <v>118</v>
      </c>
      <c r="BZ62" s="385">
        <v>9544.1</v>
      </c>
      <c r="CA62" s="692">
        <f t="shared" si="46"/>
        <v>0.19494949494950597</v>
      </c>
      <c r="CB62" s="385">
        <v>7688</v>
      </c>
      <c r="CC62" s="385"/>
      <c r="CD62" s="385"/>
      <c r="CH62" s="451">
        <v>0.50902777777777775</v>
      </c>
      <c r="CI62" s="421">
        <v>45520</v>
      </c>
      <c r="CJ62" s="452">
        <v>209</v>
      </c>
      <c r="CK62" s="452">
        <v>1430</v>
      </c>
      <c r="CL62" s="527">
        <f t="shared" si="17"/>
        <v>0.15384615384615385</v>
      </c>
      <c r="CM62" s="476">
        <v>6505</v>
      </c>
      <c r="CN62" s="452" t="s">
        <v>46</v>
      </c>
      <c r="CO62" s="452" t="s">
        <v>390</v>
      </c>
      <c r="CR62" s="762" t="s">
        <v>310</v>
      </c>
      <c r="CS62" s="385"/>
      <c r="CT62" s="408">
        <v>45702</v>
      </c>
      <c r="CU62" s="385">
        <v>50</v>
      </c>
      <c r="CV62" s="385">
        <v>6703</v>
      </c>
      <c r="CW62" s="385"/>
      <c r="CX62" s="385">
        <v>8485</v>
      </c>
      <c r="CY62" s="385" t="s">
        <v>435</v>
      </c>
      <c r="CZ62" s="385" t="s">
        <v>408</v>
      </c>
      <c r="DD62" s="700">
        <v>0.45902777777777776</v>
      </c>
      <c r="DE62" s="701">
        <v>45988</v>
      </c>
      <c r="DF62" s="539">
        <v>19</v>
      </c>
      <c r="DG62" s="539"/>
      <c r="DH62" s="742">
        <f t="shared" si="44"/>
        <v>0</v>
      </c>
      <c r="DI62" s="539">
        <v>11253</v>
      </c>
      <c r="DJ62" s="539" t="s">
        <v>168</v>
      </c>
      <c r="DK62" s="539" t="s">
        <v>581</v>
      </c>
      <c r="DN62" s="568" t="s">
        <v>60</v>
      </c>
      <c r="DO62" s="569">
        <v>0.46111111111111114</v>
      </c>
      <c r="DP62" s="570">
        <v>45610</v>
      </c>
      <c r="DQ62" s="568">
        <v>384</v>
      </c>
      <c r="DR62" s="568">
        <v>1156.5</v>
      </c>
      <c r="DS62" s="731">
        <f t="shared" si="2"/>
        <v>8.1896551724137928E-2</v>
      </c>
      <c r="DT62" s="568">
        <v>7606</v>
      </c>
      <c r="DU62" s="568" t="s">
        <v>388</v>
      </c>
      <c r="DV62" s="568" t="str">
        <f t="shared" si="41"/>
        <v>PUERTA JARDIN</v>
      </c>
      <c r="DY62" s="426">
        <v>0.62777777777777777</v>
      </c>
      <c r="DZ62" s="408">
        <v>45870</v>
      </c>
      <c r="EA62" s="385">
        <v>315</v>
      </c>
      <c r="EB62" s="385">
        <v>1421</v>
      </c>
      <c r="EC62" s="389">
        <f t="shared" si="42"/>
        <v>49</v>
      </c>
      <c r="ED62" s="385">
        <v>10235</v>
      </c>
      <c r="EE62" s="385" t="s">
        <v>308</v>
      </c>
      <c r="EF62" s="385" t="s">
        <v>582</v>
      </c>
      <c r="EG62" s="470"/>
      <c r="EW62" s="419" t="s">
        <v>63</v>
      </c>
      <c r="EX62" s="426">
        <v>0.74375000000000002</v>
      </c>
      <c r="EY62" s="408">
        <v>45304</v>
      </c>
      <c r="EZ62" s="385">
        <v>86</v>
      </c>
      <c r="FA62" s="385">
        <v>0</v>
      </c>
      <c r="FB62" s="385"/>
      <c r="FC62" s="385">
        <v>7624</v>
      </c>
      <c r="FD62" s="385"/>
      <c r="FE62" s="385"/>
      <c r="FR62" s="509" t="s">
        <v>288</v>
      </c>
      <c r="FS62" s="426">
        <v>0.3611111111111111</v>
      </c>
      <c r="FT62" s="408">
        <v>45698</v>
      </c>
      <c r="FU62" s="385">
        <v>87</v>
      </c>
      <c r="FV62" s="385"/>
      <c r="FW62" s="385"/>
      <c r="FX62" s="385">
        <v>8452</v>
      </c>
      <c r="FY62" s="385" t="s">
        <v>149</v>
      </c>
      <c r="FZ62" s="385" t="s">
        <v>435</v>
      </c>
    </row>
    <row r="63" spans="2:314" ht="16.5" thickBot="1" x14ac:dyDescent="0.3">
      <c r="B63" s="787" t="s">
        <v>30</v>
      </c>
      <c r="C63" s="787"/>
      <c r="D63" s="452" t="s">
        <v>621</v>
      </c>
      <c r="E63" s="788">
        <v>0.25277777777777777</v>
      </c>
      <c r="F63" s="408">
        <v>45829</v>
      </c>
      <c r="G63" s="385">
        <v>21</v>
      </c>
      <c r="H63" s="385">
        <v>92080</v>
      </c>
      <c r="I63" s="393">
        <v>10757</v>
      </c>
      <c r="Q63" s="409" t="s">
        <v>86</v>
      </c>
      <c r="R63" s="426">
        <v>0.71458333333333335</v>
      </c>
      <c r="S63" s="408">
        <v>46076</v>
      </c>
      <c r="T63" s="385">
        <v>26</v>
      </c>
      <c r="U63" s="539">
        <v>1210</v>
      </c>
      <c r="V63" s="456">
        <f t="shared" ref="V63:V71" si="47">U63-U62</f>
        <v>11</v>
      </c>
      <c r="W63" s="385">
        <v>13302</v>
      </c>
      <c r="X63" s="385"/>
      <c r="Y63" s="385" t="s">
        <v>116</v>
      </c>
      <c r="BK63" s="737" t="s">
        <v>503</v>
      </c>
      <c r="BL63" s="426">
        <v>0.69444444444444453</v>
      </c>
      <c r="BM63" s="408">
        <v>45254</v>
      </c>
      <c r="BN63" s="385">
        <v>80</v>
      </c>
      <c r="BO63" s="385">
        <v>8797</v>
      </c>
      <c r="BP63" s="402">
        <f t="shared" si="45"/>
        <v>49.421348314606739</v>
      </c>
      <c r="BQ63" s="440">
        <v>7074</v>
      </c>
      <c r="BR63" s="385"/>
      <c r="BS63" s="385"/>
      <c r="BT63" s="385"/>
      <c r="BU63" s="355"/>
      <c r="BX63" s="552">
        <v>45308</v>
      </c>
      <c r="BY63" s="393">
        <v>100</v>
      </c>
      <c r="BZ63" s="393">
        <v>9568.2999999999993</v>
      </c>
      <c r="CA63" s="692">
        <f t="shared" si="46"/>
        <v>0.20508474576270261</v>
      </c>
      <c r="CB63" s="385">
        <v>7688</v>
      </c>
      <c r="CC63" s="385"/>
      <c r="CD63" s="789" t="s">
        <v>622</v>
      </c>
      <c r="CE63" s="657"/>
      <c r="CF63" s="657"/>
      <c r="CG63" s="442" t="s">
        <v>307</v>
      </c>
      <c r="CH63" s="426">
        <v>0.52986111111111112</v>
      </c>
      <c r="CI63" s="408">
        <v>45523</v>
      </c>
      <c r="CJ63" s="385">
        <v>143</v>
      </c>
      <c r="CK63" s="385"/>
      <c r="CL63" s="527">
        <f t="shared" si="17"/>
        <v>-6.8421052631578947</v>
      </c>
      <c r="CM63" s="440">
        <v>8565</v>
      </c>
      <c r="CN63" s="385" t="s">
        <v>46</v>
      </c>
      <c r="CO63" s="385" t="s">
        <v>390</v>
      </c>
      <c r="CR63" s="399" t="s">
        <v>623</v>
      </c>
      <c r="CS63" s="426">
        <v>0.72916666666666663</v>
      </c>
      <c r="CT63" s="408">
        <v>45793</v>
      </c>
      <c r="CU63" s="385">
        <v>193</v>
      </c>
      <c r="CV63" s="385">
        <v>6723</v>
      </c>
      <c r="CW63" s="393">
        <f>CV63-CV62</f>
        <v>20</v>
      </c>
      <c r="CX63" s="385">
        <v>7695</v>
      </c>
      <c r="CY63" s="385" t="s">
        <v>591</v>
      </c>
      <c r="CZ63" s="385" t="s">
        <v>434</v>
      </c>
      <c r="DC63" s="409" t="s">
        <v>115</v>
      </c>
      <c r="DD63" s="700"/>
      <c r="DE63" s="701">
        <v>45993</v>
      </c>
      <c r="DF63" s="539">
        <v>68</v>
      </c>
      <c r="DG63" s="539"/>
      <c r="DH63" s="742">
        <f t="shared" si="44"/>
        <v>0</v>
      </c>
      <c r="DI63" s="539">
        <v>11275</v>
      </c>
      <c r="DJ63" s="539" t="s">
        <v>168</v>
      </c>
      <c r="DK63" s="539" t="s">
        <v>581</v>
      </c>
      <c r="DN63" s="568" t="str">
        <f>+DN62</f>
        <v>EX13</v>
      </c>
      <c r="DO63" s="569">
        <v>0.51388888888888884</v>
      </c>
      <c r="DP63" s="570">
        <v>45615</v>
      </c>
      <c r="DQ63" s="568">
        <v>310</v>
      </c>
      <c r="DR63" s="568">
        <v>1173</v>
      </c>
      <c r="DS63" s="731">
        <f t="shared" si="2"/>
        <v>4.296875E-2</v>
      </c>
      <c r="DT63" s="568">
        <v>7637</v>
      </c>
      <c r="DU63" s="568" t="s">
        <v>388</v>
      </c>
      <c r="DV63" s="568" t="str">
        <f>+DV62</f>
        <v>PUERTA JARDIN</v>
      </c>
      <c r="DY63" s="451"/>
      <c r="DZ63" s="421">
        <v>45875</v>
      </c>
      <c r="EA63" s="452">
        <v>333</v>
      </c>
      <c r="EB63" s="452">
        <v>1446</v>
      </c>
      <c r="EC63" s="527">
        <f t="shared" si="42"/>
        <v>25</v>
      </c>
      <c r="ED63" s="452">
        <v>11365</v>
      </c>
      <c r="EE63" s="452" t="s">
        <v>308</v>
      </c>
      <c r="EF63" s="452" t="s">
        <v>613</v>
      </c>
      <c r="EG63" s="519"/>
      <c r="EX63" s="451">
        <v>0.81874999999999998</v>
      </c>
      <c r="EY63" s="421">
        <v>45309</v>
      </c>
      <c r="EZ63" s="452">
        <v>110</v>
      </c>
      <c r="FA63" s="452">
        <v>0</v>
      </c>
      <c r="FB63" s="452"/>
      <c r="FC63" s="452">
        <v>7732</v>
      </c>
      <c r="FD63" s="452"/>
      <c r="FE63" s="385"/>
      <c r="FR63" s="509" t="s">
        <v>288</v>
      </c>
      <c r="FS63" s="426">
        <v>0.33541666666666664</v>
      </c>
      <c r="FT63" s="408">
        <v>45737</v>
      </c>
      <c r="FU63" s="385">
        <v>20</v>
      </c>
      <c r="FV63" s="385"/>
      <c r="FW63" s="385"/>
      <c r="FX63" s="385">
        <v>7813</v>
      </c>
      <c r="FY63" s="385" t="s">
        <v>149</v>
      </c>
      <c r="FZ63" s="385" t="s">
        <v>435</v>
      </c>
      <c r="GM63" s="671" t="s">
        <v>624</v>
      </c>
      <c r="GN63" s="598">
        <f>GN64+250</f>
        <v>5628</v>
      </c>
    </row>
    <row r="64" spans="2:314" ht="16.5" thickBot="1" x14ac:dyDescent="0.3">
      <c r="B64" s="787" t="s">
        <v>30</v>
      </c>
      <c r="C64" s="787"/>
      <c r="D64" s="452" t="s">
        <v>621</v>
      </c>
      <c r="E64" s="788">
        <v>0.48194444444444445</v>
      </c>
      <c r="F64" s="408">
        <v>45892</v>
      </c>
      <c r="G64" s="385">
        <v>30</v>
      </c>
      <c r="H64" s="385">
        <v>104086</v>
      </c>
      <c r="I64" s="393">
        <v>10276</v>
      </c>
      <c r="R64" s="426">
        <v>0.4152777777777778</v>
      </c>
      <c r="S64" s="408">
        <v>46080</v>
      </c>
      <c r="T64" s="385">
        <v>35</v>
      </c>
      <c r="U64" s="539">
        <v>1221</v>
      </c>
      <c r="V64" s="456">
        <f t="shared" si="47"/>
        <v>11</v>
      </c>
      <c r="W64" s="385">
        <v>13327</v>
      </c>
      <c r="X64" s="385"/>
      <c r="Y64" s="385" t="s">
        <v>116</v>
      </c>
      <c r="BK64" s="737" t="s">
        <v>503</v>
      </c>
      <c r="BL64" s="426">
        <v>0.65972222222222221</v>
      </c>
      <c r="BM64" s="408">
        <v>45257</v>
      </c>
      <c r="BN64" s="385">
        <v>141</v>
      </c>
      <c r="BO64" s="385">
        <v>8810</v>
      </c>
      <c r="BP64" s="402">
        <f t="shared" si="45"/>
        <v>0.16250000000000001</v>
      </c>
      <c r="BQ64" s="790">
        <v>7117</v>
      </c>
      <c r="BR64" s="385"/>
      <c r="BS64" s="385"/>
      <c r="BT64" s="385"/>
      <c r="BU64" s="355"/>
      <c r="BV64" s="743" t="s">
        <v>306</v>
      </c>
      <c r="BW64" s="426">
        <v>0.36736111111111108</v>
      </c>
      <c r="BX64" s="408">
        <v>45322</v>
      </c>
      <c r="BY64" s="385">
        <v>83</v>
      </c>
      <c r="BZ64" s="385"/>
      <c r="CA64" s="692">
        <f t="shared" si="46"/>
        <v>-95.682999999999993</v>
      </c>
      <c r="CB64" s="385">
        <v>4758</v>
      </c>
      <c r="CC64" s="385"/>
      <c r="CD64" s="385"/>
      <c r="CH64" s="451">
        <v>0.60902777777777772</v>
      </c>
      <c r="CI64" s="421">
        <v>45525</v>
      </c>
      <c r="CJ64" s="452">
        <v>148</v>
      </c>
      <c r="CK64" s="452">
        <v>1460</v>
      </c>
      <c r="CL64" s="527">
        <f t="shared" si="17"/>
        <v>10.20979020979021</v>
      </c>
      <c r="CM64" s="476">
        <v>6555</v>
      </c>
      <c r="CN64" s="452" t="s">
        <v>170</v>
      </c>
      <c r="CO64" s="452" t="s">
        <v>390</v>
      </c>
      <c r="CR64" s="399" t="s">
        <v>623</v>
      </c>
      <c r="CS64" s="426">
        <v>0.52083333333333337</v>
      </c>
      <c r="CT64" s="408">
        <v>45797</v>
      </c>
      <c r="CU64" s="385">
        <v>202</v>
      </c>
      <c r="CV64" s="385">
        <v>6750</v>
      </c>
      <c r="CW64" s="393">
        <f t="shared" ref="CW64:CW112" si="48">CV64-CV63</f>
        <v>27</v>
      </c>
      <c r="CX64" s="385">
        <v>9843</v>
      </c>
      <c r="CY64" s="385" t="s">
        <v>591</v>
      </c>
      <c r="CZ64" s="385" t="s">
        <v>434</v>
      </c>
      <c r="DD64" s="700"/>
      <c r="DE64" s="701">
        <v>45996</v>
      </c>
      <c r="DF64" s="539">
        <v>63</v>
      </c>
      <c r="DG64" s="539"/>
      <c r="DH64" s="742">
        <f t="shared" si="44"/>
        <v>0</v>
      </c>
      <c r="DI64" s="539">
        <v>11295</v>
      </c>
      <c r="DJ64" s="539" t="s">
        <v>168</v>
      </c>
      <c r="DK64" s="539" t="s">
        <v>581</v>
      </c>
      <c r="DN64" s="568" t="s">
        <v>60</v>
      </c>
      <c r="DO64" s="569">
        <v>0.52013888888888893</v>
      </c>
      <c r="DP64" s="570">
        <v>45617</v>
      </c>
      <c r="DQ64" s="568">
        <v>340</v>
      </c>
      <c r="DR64" s="568">
        <v>1192</v>
      </c>
      <c r="DS64" s="731">
        <f t="shared" si="2"/>
        <v>6.1290322580645158E-2</v>
      </c>
      <c r="DT64" s="568">
        <v>7667</v>
      </c>
      <c r="DU64" s="568" t="s">
        <v>388</v>
      </c>
      <c r="DV64" s="568" t="str">
        <f>+DV62</f>
        <v>PUERTA JARDIN</v>
      </c>
      <c r="DX64" s="442" t="s">
        <v>286</v>
      </c>
      <c r="DY64" s="426">
        <v>0.375</v>
      </c>
      <c r="DZ64" s="408">
        <v>45878</v>
      </c>
      <c r="EA64" s="385">
        <v>333</v>
      </c>
      <c r="EB64" s="385">
        <v>1471</v>
      </c>
      <c r="EC64" s="389">
        <f t="shared" si="42"/>
        <v>25</v>
      </c>
      <c r="ED64" s="385">
        <v>11396</v>
      </c>
      <c r="EE64" s="385" t="s">
        <v>308</v>
      </c>
      <c r="EF64" s="385" t="s">
        <v>613</v>
      </c>
      <c r="EG64" s="470"/>
      <c r="EW64" s="419" t="s">
        <v>63</v>
      </c>
      <c r="EX64" s="451">
        <v>0.66527777777777775</v>
      </c>
      <c r="EY64" s="421">
        <v>45311</v>
      </c>
      <c r="EZ64" s="452">
        <v>116</v>
      </c>
      <c r="FA64" s="452">
        <v>0</v>
      </c>
      <c r="FB64" s="452"/>
      <c r="FC64" s="452">
        <v>7853</v>
      </c>
      <c r="FD64" s="452"/>
      <c r="FE64" s="385"/>
      <c r="FR64" s="509" t="s">
        <v>288</v>
      </c>
      <c r="FS64" s="453"/>
      <c r="FT64" s="791">
        <v>45772</v>
      </c>
      <c r="FU64" s="453">
        <v>75</v>
      </c>
      <c r="FV64" s="453"/>
      <c r="FW64" s="453"/>
      <c r="FX64" s="453">
        <v>9182</v>
      </c>
      <c r="FY64" s="453" t="s">
        <v>149</v>
      </c>
      <c r="FZ64" s="453" t="s">
        <v>625</v>
      </c>
      <c r="GM64" s="671" t="s">
        <v>438</v>
      </c>
      <c r="GN64" s="598">
        <v>5378</v>
      </c>
    </row>
    <row r="65" spans="2:197" ht="16.5" thickBot="1" x14ac:dyDescent="0.3">
      <c r="B65" s="787" t="s">
        <v>30</v>
      </c>
      <c r="C65" s="787"/>
      <c r="D65" s="452" t="s">
        <v>621</v>
      </c>
      <c r="E65" s="788">
        <v>0.26319444444444445</v>
      </c>
      <c r="F65" s="408">
        <v>45941</v>
      </c>
      <c r="G65" s="385">
        <v>13</v>
      </c>
      <c r="H65" s="385">
        <v>112467</v>
      </c>
      <c r="I65" s="393">
        <v>10866</v>
      </c>
      <c r="Q65" s="409" t="s">
        <v>86</v>
      </c>
      <c r="R65" s="426">
        <v>0.8256944444444444</v>
      </c>
      <c r="S65" s="408">
        <v>46083</v>
      </c>
      <c r="T65" s="385">
        <v>38</v>
      </c>
      <c r="U65" s="539">
        <v>1245</v>
      </c>
      <c r="V65" s="456">
        <f t="shared" si="47"/>
        <v>24</v>
      </c>
      <c r="W65" s="385">
        <v>11309</v>
      </c>
      <c r="X65" s="385"/>
      <c r="Y65" s="385" t="s">
        <v>116</v>
      </c>
      <c r="BL65" s="385"/>
      <c r="BM65" s="408">
        <v>45260</v>
      </c>
      <c r="BN65" s="385">
        <v>82</v>
      </c>
      <c r="BO65" s="385">
        <v>8830</v>
      </c>
      <c r="BP65" s="402">
        <f t="shared" si="45"/>
        <v>0.14184397163120568</v>
      </c>
      <c r="BQ65" s="790">
        <v>7131</v>
      </c>
      <c r="BR65" s="385"/>
      <c r="BS65" s="385"/>
      <c r="BT65" s="385"/>
      <c r="BU65" s="355"/>
      <c r="BV65" s="743" t="s">
        <v>306</v>
      </c>
      <c r="BW65" s="385"/>
      <c r="BX65" s="408">
        <v>45330</v>
      </c>
      <c r="BY65" s="385">
        <v>104</v>
      </c>
      <c r="BZ65" s="385">
        <v>9615.4</v>
      </c>
      <c r="CA65" s="692">
        <f t="shared" si="46"/>
        <v>115.84819277108433</v>
      </c>
      <c r="CB65" s="385">
        <v>7479</v>
      </c>
      <c r="CC65" s="385"/>
      <c r="CD65" s="385"/>
      <c r="CG65" s="442" t="s">
        <v>307</v>
      </c>
      <c r="CH65" s="426"/>
      <c r="CI65" s="408">
        <v>45528</v>
      </c>
      <c r="CJ65" s="385">
        <v>141</v>
      </c>
      <c r="CK65" s="385">
        <v>1473</v>
      </c>
      <c r="CL65" s="527">
        <f t="shared" si="17"/>
        <v>8.7837837837837843E-2</v>
      </c>
      <c r="CM65" s="440">
        <v>6580</v>
      </c>
      <c r="CN65" s="385" t="s">
        <v>170</v>
      </c>
      <c r="CO65" s="385" t="s">
        <v>390</v>
      </c>
      <c r="CR65" s="399" t="s">
        <v>623</v>
      </c>
      <c r="CS65" s="426">
        <v>0.43055555555555558</v>
      </c>
      <c r="CT65" s="408">
        <v>45805</v>
      </c>
      <c r="CU65" s="385">
        <v>197</v>
      </c>
      <c r="CV65" s="385">
        <v>6800</v>
      </c>
      <c r="CW65" s="393">
        <f t="shared" si="48"/>
        <v>50</v>
      </c>
      <c r="CX65" s="385">
        <v>9858</v>
      </c>
      <c r="CY65" s="385" t="s">
        <v>591</v>
      </c>
      <c r="CZ65" s="385" t="s">
        <v>434</v>
      </c>
      <c r="DC65" s="409" t="s">
        <v>115</v>
      </c>
      <c r="DD65" s="700">
        <v>0.50069444444444444</v>
      </c>
      <c r="DE65" s="701">
        <v>45999</v>
      </c>
      <c r="DF65" s="539">
        <v>60</v>
      </c>
      <c r="DG65" s="539"/>
      <c r="DH65" s="742">
        <f t="shared" si="44"/>
        <v>0</v>
      </c>
      <c r="DI65" s="539">
        <v>11208</v>
      </c>
      <c r="DJ65" s="539" t="s">
        <v>168</v>
      </c>
      <c r="DK65" s="539" t="s">
        <v>581</v>
      </c>
      <c r="DL65" s="428" t="s">
        <v>325</v>
      </c>
      <c r="DN65" s="568" t="s">
        <v>60</v>
      </c>
      <c r="DO65" s="569">
        <v>0.37361111111111112</v>
      </c>
      <c r="DP65" s="570">
        <v>45621</v>
      </c>
      <c r="DQ65" s="568">
        <v>297</v>
      </c>
      <c r="DR65" s="568">
        <v>1227</v>
      </c>
      <c r="DS65" s="731">
        <f t="shared" si="2"/>
        <v>0.10294117647058823</v>
      </c>
      <c r="DT65" s="568">
        <v>7699</v>
      </c>
      <c r="DU65" s="568" t="str">
        <f>+DU64</f>
        <v>RIGO</v>
      </c>
      <c r="DV65" s="568" t="str">
        <f t="shared" ref="DV65:DV76" si="49">+DV64</f>
        <v>PUERTA JARDIN</v>
      </c>
      <c r="DY65" s="426">
        <v>0.44444444444444442</v>
      </c>
      <c r="DZ65" s="408">
        <v>45882</v>
      </c>
      <c r="EA65" s="385">
        <v>288</v>
      </c>
      <c r="EB65" s="385">
        <v>1492</v>
      </c>
      <c r="EC65" s="389">
        <f t="shared" si="42"/>
        <v>21</v>
      </c>
      <c r="ED65" s="385">
        <v>10366</v>
      </c>
      <c r="EE65" s="385" t="s">
        <v>308</v>
      </c>
      <c r="EF65" s="385" t="s">
        <v>613</v>
      </c>
      <c r="EG65" s="470"/>
      <c r="EW65" s="419" t="s">
        <v>63</v>
      </c>
      <c r="EX65" s="426">
        <v>0.38472222222222219</v>
      </c>
      <c r="EY65" s="408">
        <v>45325</v>
      </c>
      <c r="EZ65" s="385">
        <v>73</v>
      </c>
      <c r="FA65" s="385">
        <v>0</v>
      </c>
      <c r="FB65" s="385">
        <v>0</v>
      </c>
      <c r="FC65" s="385">
        <v>7983</v>
      </c>
      <c r="FD65" s="385"/>
      <c r="FE65" s="385"/>
      <c r="FR65" s="509" t="s">
        <v>288</v>
      </c>
      <c r="FS65" s="451">
        <v>0.2986111111111111</v>
      </c>
      <c r="FT65" s="421">
        <v>45777</v>
      </c>
      <c r="FU65" s="452">
        <v>50</v>
      </c>
      <c r="FV65" s="452">
        <v>2994</v>
      </c>
      <c r="FW65" s="792"/>
      <c r="FX65" s="452">
        <v>9630</v>
      </c>
      <c r="FY65" s="452" t="s">
        <v>598</v>
      </c>
      <c r="FZ65" s="452" t="s">
        <v>626</v>
      </c>
      <c r="GM65" s="597" t="s">
        <v>564</v>
      </c>
      <c r="GN65" s="598">
        <v>5043</v>
      </c>
      <c r="GO65" s="566">
        <v>45782</v>
      </c>
    </row>
    <row r="66" spans="2:197" ht="16.5" thickBot="1" x14ac:dyDescent="0.3">
      <c r="B66" s="787" t="s">
        <v>30</v>
      </c>
      <c r="C66" s="787"/>
      <c r="D66" s="452" t="s">
        <v>621</v>
      </c>
      <c r="E66" s="788">
        <v>0.2673611111111111</v>
      </c>
      <c r="F66" s="408">
        <v>45964</v>
      </c>
      <c r="G66" s="385">
        <v>30</v>
      </c>
      <c r="H66" s="385">
        <v>116279</v>
      </c>
      <c r="I66" s="393">
        <v>11003</v>
      </c>
      <c r="R66" s="426">
        <v>0.48125000000000001</v>
      </c>
      <c r="S66" s="408">
        <v>46086</v>
      </c>
      <c r="T66" s="385">
        <v>26</v>
      </c>
      <c r="U66" s="471">
        <v>1245</v>
      </c>
      <c r="V66" s="456">
        <f t="shared" si="47"/>
        <v>0</v>
      </c>
      <c r="W66" s="385">
        <v>11327</v>
      </c>
      <c r="X66" s="385"/>
      <c r="Y66" s="385" t="s">
        <v>383</v>
      </c>
      <c r="BL66" s="385"/>
      <c r="BM66" s="408">
        <v>45260</v>
      </c>
      <c r="BN66" s="385">
        <v>85</v>
      </c>
      <c r="BO66" s="385">
        <v>8830</v>
      </c>
      <c r="BP66" s="402">
        <f t="shared" si="45"/>
        <v>0</v>
      </c>
      <c r="BQ66" s="790">
        <v>7132</v>
      </c>
      <c r="BR66" s="385"/>
      <c r="BS66" s="385"/>
      <c r="BT66" s="385" t="s">
        <v>627</v>
      </c>
      <c r="BU66" s="355"/>
      <c r="BV66" s="743" t="s">
        <v>306</v>
      </c>
      <c r="BW66" s="385"/>
      <c r="BX66" s="408">
        <v>45335</v>
      </c>
      <c r="BY66" s="385">
        <v>127</v>
      </c>
      <c r="BZ66" s="385"/>
      <c r="CA66" s="692">
        <f t="shared" si="46"/>
        <v>-92.455769230769221</v>
      </c>
      <c r="CB66" s="385">
        <v>8108</v>
      </c>
      <c r="CC66" s="385"/>
      <c r="CD66" s="385"/>
      <c r="CH66" s="426">
        <v>0.68402777777777779</v>
      </c>
      <c r="CI66" s="408">
        <v>45531</v>
      </c>
      <c r="CJ66" s="385">
        <v>154</v>
      </c>
      <c r="CK66" s="385"/>
      <c r="CL66" s="527">
        <f t="shared" si="17"/>
        <v>-10.446808510638299</v>
      </c>
      <c r="CM66" s="385">
        <v>6594</v>
      </c>
      <c r="CN66" s="385" t="s">
        <v>170</v>
      </c>
      <c r="CO66" s="385" t="s">
        <v>390</v>
      </c>
      <c r="CR66" s="399" t="s">
        <v>623</v>
      </c>
      <c r="CS66" s="426">
        <v>0.54652777777777772</v>
      </c>
      <c r="CT66" s="408">
        <v>45810</v>
      </c>
      <c r="CU66" s="385">
        <v>200</v>
      </c>
      <c r="CV66" s="385">
        <v>6827</v>
      </c>
      <c r="CW66" s="393">
        <f t="shared" si="48"/>
        <v>27</v>
      </c>
      <c r="CX66" s="385">
        <v>9413</v>
      </c>
      <c r="CY66" s="385" t="s">
        <v>591</v>
      </c>
      <c r="CZ66" s="385" t="s">
        <v>434</v>
      </c>
      <c r="DD66" s="700">
        <v>0.86250000000000004</v>
      </c>
      <c r="DE66" s="701">
        <v>46001</v>
      </c>
      <c r="DF66" s="539">
        <v>55</v>
      </c>
      <c r="DG66" s="539"/>
      <c r="DH66" s="742">
        <f t="shared" si="44"/>
        <v>0</v>
      </c>
      <c r="DI66" s="539">
        <v>11223</v>
      </c>
      <c r="DJ66" s="539" t="s">
        <v>168</v>
      </c>
      <c r="DK66" s="539" t="s">
        <v>581</v>
      </c>
      <c r="DN66" s="568" t="str">
        <f>+DN65</f>
        <v>EX13</v>
      </c>
      <c r="DO66" s="569">
        <v>0.4548611111111111</v>
      </c>
      <c r="DP66" s="570">
        <v>45623</v>
      </c>
      <c r="DQ66" s="568">
        <v>345</v>
      </c>
      <c r="DR66" s="568">
        <v>1224</v>
      </c>
      <c r="DS66" s="731">
        <f t="shared" si="2"/>
        <v>-1.0101010101010102E-2</v>
      </c>
      <c r="DT66" s="568">
        <v>7926</v>
      </c>
      <c r="DU66" s="568" t="s">
        <v>388</v>
      </c>
      <c r="DV66" s="568" t="str">
        <f t="shared" si="49"/>
        <v>PUERTA JARDIN</v>
      </c>
      <c r="DX66" s="442" t="s">
        <v>286</v>
      </c>
      <c r="DY66" s="426">
        <v>0.46805555555555556</v>
      </c>
      <c r="DZ66" s="408">
        <v>45885</v>
      </c>
      <c r="EA66" s="385">
        <v>342</v>
      </c>
      <c r="EB66" s="385">
        <v>1515</v>
      </c>
      <c r="EC66" s="389">
        <f t="shared" si="42"/>
        <v>23</v>
      </c>
      <c r="ED66" s="385">
        <v>10384</v>
      </c>
      <c r="EE66" s="385" t="s">
        <v>308</v>
      </c>
      <c r="EF66" s="385" t="s">
        <v>613</v>
      </c>
      <c r="EG66" s="470"/>
      <c r="EX66" s="426">
        <v>0.66180555555555554</v>
      </c>
      <c r="EY66" s="408">
        <v>45328</v>
      </c>
      <c r="EZ66" s="385">
        <v>61</v>
      </c>
      <c r="FA66" s="385">
        <v>0</v>
      </c>
      <c r="FB66" s="385">
        <v>0</v>
      </c>
      <c r="FC66" s="385">
        <v>7452</v>
      </c>
      <c r="FD66" s="385"/>
      <c r="FE66" s="385"/>
      <c r="FR66" s="509" t="s">
        <v>288</v>
      </c>
      <c r="FS66" s="451"/>
      <c r="FT66" s="421">
        <v>45780</v>
      </c>
      <c r="FU66" s="452">
        <v>39</v>
      </c>
      <c r="FV66" s="452">
        <v>3008</v>
      </c>
      <c r="FW66" s="793">
        <f t="shared" ref="FW66:FW71" si="50">(FV66-FV64)/FU64</f>
        <v>40.106666666666669</v>
      </c>
      <c r="FX66" s="452">
        <v>9655</v>
      </c>
      <c r="FY66" s="452" t="s">
        <v>598</v>
      </c>
      <c r="FZ66" s="452" t="s">
        <v>626</v>
      </c>
    </row>
    <row r="67" spans="2:197" ht="16.5" thickBot="1" x14ac:dyDescent="0.3">
      <c r="B67" s="787" t="s">
        <v>30</v>
      </c>
      <c r="C67" s="787"/>
      <c r="D67" s="452" t="s">
        <v>621</v>
      </c>
      <c r="E67" s="788">
        <v>0.30555555555555558</v>
      </c>
      <c r="F67" s="408">
        <v>45986</v>
      </c>
      <c r="G67" s="385">
        <v>22</v>
      </c>
      <c r="H67" s="385">
        <v>119917</v>
      </c>
      <c r="I67" s="393">
        <v>11089</v>
      </c>
      <c r="Q67" s="409" t="s">
        <v>86</v>
      </c>
      <c r="R67" s="426">
        <v>0.88472222222222219</v>
      </c>
      <c r="S67" s="408">
        <v>46090</v>
      </c>
      <c r="T67" s="385">
        <v>33</v>
      </c>
      <c r="U67" s="539">
        <v>1273</v>
      </c>
      <c r="V67" s="456">
        <f t="shared" si="47"/>
        <v>28</v>
      </c>
      <c r="W67" s="385">
        <v>11349</v>
      </c>
      <c r="X67" s="385"/>
      <c r="Y67" s="385" t="s">
        <v>383</v>
      </c>
      <c r="BK67" s="737" t="s">
        <v>503</v>
      </c>
      <c r="BL67" s="426">
        <v>0.3611111111111111</v>
      </c>
      <c r="BM67" s="408">
        <v>45649</v>
      </c>
      <c r="BN67" s="385">
        <v>105</v>
      </c>
      <c r="BO67" s="385">
        <v>8859</v>
      </c>
      <c r="BP67" s="402">
        <f t="shared" si="45"/>
        <v>0.3411764705882353</v>
      </c>
      <c r="BQ67" s="767">
        <v>4606</v>
      </c>
      <c r="BR67" s="385"/>
      <c r="BS67" s="385"/>
      <c r="BT67" s="385"/>
      <c r="BU67" s="355"/>
      <c r="BW67" s="451">
        <v>0.41666666666666669</v>
      </c>
      <c r="BX67" s="421">
        <v>45338</v>
      </c>
      <c r="BY67" s="452">
        <v>123</v>
      </c>
      <c r="BZ67" s="452">
        <v>9654.2999999999993</v>
      </c>
      <c r="CA67" s="692">
        <f t="shared" si="46"/>
        <v>76.018110236220465</v>
      </c>
      <c r="CB67" s="452">
        <v>8146</v>
      </c>
      <c r="CC67" s="452"/>
      <c r="CD67" s="385"/>
      <c r="CH67" s="451">
        <v>0.28055555555555556</v>
      </c>
      <c r="CI67" s="421">
        <v>45534</v>
      </c>
      <c r="CJ67" s="452">
        <v>173</v>
      </c>
      <c r="CK67" s="452">
        <v>1504</v>
      </c>
      <c r="CL67" s="527">
        <f t="shared" si="17"/>
        <v>9.7662337662337659</v>
      </c>
      <c r="CM67" s="452">
        <v>9020</v>
      </c>
      <c r="CN67" s="452" t="s">
        <v>170</v>
      </c>
      <c r="CO67" s="452" t="s">
        <v>390</v>
      </c>
      <c r="CS67" s="426">
        <v>0.64930555555555558</v>
      </c>
      <c r="CT67" s="408">
        <v>45813</v>
      </c>
      <c r="CU67" s="385">
        <v>169</v>
      </c>
      <c r="CV67" s="385">
        <v>6852</v>
      </c>
      <c r="CW67" s="393">
        <f t="shared" si="48"/>
        <v>25</v>
      </c>
      <c r="CX67" s="385">
        <v>10017</v>
      </c>
      <c r="CY67" s="385" t="s">
        <v>591</v>
      </c>
      <c r="CZ67" s="385" t="s">
        <v>434</v>
      </c>
      <c r="DC67" s="409" t="s">
        <v>115</v>
      </c>
      <c r="DD67" s="700">
        <v>0.41249999999999998</v>
      </c>
      <c r="DE67" s="701">
        <v>46006</v>
      </c>
      <c r="DF67" s="539">
        <v>54</v>
      </c>
      <c r="DG67" s="539"/>
      <c r="DH67" s="742">
        <f t="shared" si="44"/>
        <v>0</v>
      </c>
      <c r="DI67" s="539">
        <v>11106</v>
      </c>
      <c r="DJ67" s="539" t="s">
        <v>168</v>
      </c>
      <c r="DK67" s="539" t="s">
        <v>581</v>
      </c>
      <c r="DN67" s="568" t="str">
        <f>+DN66</f>
        <v>EX13</v>
      </c>
      <c r="DO67" s="569">
        <v>0.23472222222222222</v>
      </c>
      <c r="DP67" s="570">
        <v>45627</v>
      </c>
      <c r="DQ67" s="568">
        <v>200</v>
      </c>
      <c r="DR67" s="568">
        <v>0</v>
      </c>
      <c r="DS67" s="731">
        <f t="shared" si="2"/>
        <v>-3.5478260869565217</v>
      </c>
      <c r="DT67" s="568">
        <v>7180</v>
      </c>
      <c r="DU67" s="568" t="str">
        <f>+DU66</f>
        <v>RIGO</v>
      </c>
      <c r="DV67" s="568" t="str">
        <f t="shared" si="49"/>
        <v>PUERTA JARDIN</v>
      </c>
      <c r="DX67" s="442" t="s">
        <v>286</v>
      </c>
      <c r="DY67" s="426">
        <v>0.41666666666666669</v>
      </c>
      <c r="DZ67" s="408">
        <v>45890</v>
      </c>
      <c r="EA67" s="385">
        <v>287</v>
      </c>
      <c r="EB67" s="385">
        <v>1532</v>
      </c>
      <c r="EC67" s="389">
        <f t="shared" si="42"/>
        <v>17</v>
      </c>
      <c r="ED67" s="385">
        <v>10253</v>
      </c>
      <c r="EE67" s="385" t="s">
        <v>308</v>
      </c>
      <c r="EF67" s="385" t="s">
        <v>613</v>
      </c>
      <c r="EG67" s="470"/>
      <c r="EX67" s="551">
        <v>0.65069444444444446</v>
      </c>
      <c r="EY67" s="552">
        <v>45330</v>
      </c>
      <c r="EZ67" s="393">
        <v>83</v>
      </c>
      <c r="FA67" s="348">
        <v>0</v>
      </c>
      <c r="FB67" s="393">
        <v>0</v>
      </c>
      <c r="FC67" s="393">
        <v>7481</v>
      </c>
      <c r="FD67" s="393"/>
      <c r="FE67" s="385"/>
      <c r="FS67" s="451">
        <v>0.43055555555555558</v>
      </c>
      <c r="FT67" s="421">
        <v>45783</v>
      </c>
      <c r="FU67" s="452">
        <v>35</v>
      </c>
      <c r="FV67" s="452">
        <v>426</v>
      </c>
      <c r="FW67" s="793">
        <f t="shared" si="50"/>
        <v>-51.36</v>
      </c>
      <c r="FX67" s="452">
        <v>9676</v>
      </c>
      <c r="FY67" s="452" t="s">
        <v>598</v>
      </c>
      <c r="FZ67" s="452" t="s">
        <v>626</v>
      </c>
    </row>
    <row r="68" spans="2:197" ht="16.5" thickBot="1" x14ac:dyDescent="0.3">
      <c r="B68" s="787" t="s">
        <v>30</v>
      </c>
      <c r="C68" s="787"/>
      <c r="D68" s="452" t="s">
        <v>621</v>
      </c>
      <c r="E68" s="788">
        <v>0.23125000000000001</v>
      </c>
      <c r="F68" s="408">
        <v>46034</v>
      </c>
      <c r="G68" s="385">
        <v>26</v>
      </c>
      <c r="H68" s="385">
        <v>127338</v>
      </c>
      <c r="I68" s="393">
        <v>9924</v>
      </c>
      <c r="R68" s="426">
        <v>0.46180555555555558</v>
      </c>
      <c r="S68" s="408">
        <v>46093</v>
      </c>
      <c r="T68" s="385">
        <v>54</v>
      </c>
      <c r="U68" s="539">
        <v>1288</v>
      </c>
      <c r="V68" s="456">
        <f t="shared" si="47"/>
        <v>15</v>
      </c>
      <c r="W68" s="385">
        <v>11760</v>
      </c>
      <c r="X68" s="385" t="s">
        <v>628</v>
      </c>
      <c r="Y68" s="385" t="s">
        <v>383</v>
      </c>
      <c r="Z68" s="469" t="s">
        <v>629</v>
      </c>
      <c r="BK68" s="737" t="s">
        <v>503</v>
      </c>
      <c r="BL68" s="385"/>
      <c r="BM68" s="408">
        <v>45302</v>
      </c>
      <c r="BN68" s="385">
        <v>85</v>
      </c>
      <c r="BO68" s="385">
        <v>8879</v>
      </c>
      <c r="BP68" s="402">
        <f t="shared" si="45"/>
        <v>0.19047619047619047</v>
      </c>
      <c r="BQ68" s="440">
        <v>7687</v>
      </c>
      <c r="BR68" s="385"/>
      <c r="BS68" s="385"/>
      <c r="BT68" s="385"/>
      <c r="BU68" s="355"/>
      <c r="BV68" s="743" t="s">
        <v>306</v>
      </c>
      <c r="BW68" s="426">
        <v>0.58333333333333337</v>
      </c>
      <c r="BX68" s="408">
        <v>45342</v>
      </c>
      <c r="BY68" s="385">
        <v>50</v>
      </c>
      <c r="BZ68" s="385">
        <v>0</v>
      </c>
      <c r="CA68" s="692">
        <f t="shared" si="46"/>
        <v>-78.490243902439019</v>
      </c>
      <c r="CB68" s="385">
        <v>4831</v>
      </c>
      <c r="CC68" s="385"/>
      <c r="CD68" s="385"/>
      <c r="CG68" s="442" t="s">
        <v>307</v>
      </c>
      <c r="CH68" s="426">
        <v>0.74722222222222223</v>
      </c>
      <c r="CI68" s="408">
        <v>45537</v>
      </c>
      <c r="CJ68" s="385">
        <v>206</v>
      </c>
      <c r="CK68" s="385"/>
      <c r="CL68" s="527">
        <f t="shared" si="17"/>
        <v>-8.693641618497109</v>
      </c>
      <c r="CM68" s="440">
        <v>9038</v>
      </c>
      <c r="CN68" s="385" t="s">
        <v>170</v>
      </c>
      <c r="CO68" s="385" t="s">
        <v>390</v>
      </c>
      <c r="CR68" s="399" t="s">
        <v>623</v>
      </c>
      <c r="CS68" s="426">
        <v>0.58958333333333335</v>
      </c>
      <c r="CT68" s="408">
        <v>45825</v>
      </c>
      <c r="CU68" s="385">
        <v>138</v>
      </c>
      <c r="CV68" s="385">
        <v>6918</v>
      </c>
      <c r="CW68" s="393">
        <f t="shared" si="48"/>
        <v>66</v>
      </c>
      <c r="CX68" s="385">
        <v>10571</v>
      </c>
      <c r="CY68" s="385" t="s">
        <v>591</v>
      </c>
      <c r="CZ68" s="385" t="s">
        <v>434</v>
      </c>
      <c r="DD68" s="700">
        <v>0.80277777777777781</v>
      </c>
      <c r="DE68" s="701">
        <v>46009</v>
      </c>
      <c r="DF68" s="539">
        <v>56</v>
      </c>
      <c r="DG68" s="539"/>
      <c r="DH68" s="742">
        <f t="shared" si="44"/>
        <v>0</v>
      </c>
      <c r="DI68" s="539">
        <v>11128</v>
      </c>
      <c r="DJ68" s="539" t="s">
        <v>168</v>
      </c>
      <c r="DK68" s="539" t="s">
        <v>581</v>
      </c>
      <c r="DN68" s="568" t="s">
        <v>60</v>
      </c>
      <c r="DO68" s="569">
        <v>0.35069444444444442</v>
      </c>
      <c r="DP68" s="570">
        <v>45630</v>
      </c>
      <c r="DQ68" s="568">
        <v>391</v>
      </c>
      <c r="DR68" s="568">
        <v>1255</v>
      </c>
      <c r="DS68" s="731">
        <f t="shared" si="2"/>
        <v>6.2750000000000004</v>
      </c>
      <c r="DT68" s="568">
        <v>7323</v>
      </c>
      <c r="DU68" s="568" t="str">
        <f>+DU67</f>
        <v>RIGO</v>
      </c>
      <c r="DV68" s="568" t="str">
        <f t="shared" si="49"/>
        <v>PUERTA JARDIN</v>
      </c>
      <c r="DX68" s="442" t="s">
        <v>286</v>
      </c>
      <c r="DY68" s="426">
        <v>0.47222222222222221</v>
      </c>
      <c r="DZ68" s="408">
        <v>45895</v>
      </c>
      <c r="EA68" s="385">
        <v>337</v>
      </c>
      <c r="EB68" s="385">
        <v>1555</v>
      </c>
      <c r="EC68" s="389">
        <f t="shared" si="42"/>
        <v>23</v>
      </c>
      <c r="ED68" s="385">
        <v>10282</v>
      </c>
      <c r="EE68" s="385" t="s">
        <v>308</v>
      </c>
      <c r="EF68" s="385" t="s">
        <v>613</v>
      </c>
      <c r="EG68" s="470"/>
      <c r="EX68" s="451">
        <v>0.3888888888888889</v>
      </c>
      <c r="EY68" s="421">
        <v>45331</v>
      </c>
      <c r="EZ68" s="452">
        <v>100</v>
      </c>
      <c r="FA68" s="452">
        <v>0</v>
      </c>
      <c r="FB68" s="452">
        <v>0</v>
      </c>
      <c r="FC68" s="794">
        <v>7499</v>
      </c>
      <c r="FD68" s="794"/>
      <c r="FE68" s="385"/>
      <c r="FR68" s="509" t="s">
        <v>288</v>
      </c>
      <c r="FS68" s="426">
        <v>0.5854166666666667</v>
      </c>
      <c r="FT68" s="408">
        <v>45789</v>
      </c>
      <c r="FU68" s="385">
        <v>69</v>
      </c>
      <c r="FV68" s="385">
        <v>3048</v>
      </c>
      <c r="FW68" s="793">
        <f t="shared" si="50"/>
        <v>1.0256410256410255</v>
      </c>
      <c r="FX68" s="385"/>
      <c r="FY68" s="385" t="s">
        <v>598</v>
      </c>
      <c r="FZ68" s="385" t="s">
        <v>626</v>
      </c>
    </row>
    <row r="69" spans="2:197" ht="16.5" thickBot="1" x14ac:dyDescent="0.3">
      <c r="B69" s="787" t="s">
        <v>30</v>
      </c>
      <c r="C69" s="787"/>
      <c r="D69" s="795" t="s">
        <v>621</v>
      </c>
      <c r="E69" s="796">
        <v>0.83472222222222225</v>
      </c>
      <c r="F69" s="513">
        <v>46056</v>
      </c>
      <c r="G69" s="469">
        <v>17</v>
      </c>
      <c r="H69" s="469">
        <v>131478</v>
      </c>
      <c r="I69" s="797">
        <v>10414</v>
      </c>
      <c r="Q69" s="409" t="s">
        <v>86</v>
      </c>
      <c r="R69" s="491">
        <v>0.30625000000000002</v>
      </c>
      <c r="S69" s="513">
        <v>46097</v>
      </c>
      <c r="T69" s="469">
        <v>25</v>
      </c>
      <c r="U69" s="540">
        <v>1306</v>
      </c>
      <c r="V69" s="798">
        <f t="shared" si="47"/>
        <v>18</v>
      </c>
      <c r="W69" s="469">
        <v>11779</v>
      </c>
      <c r="X69" s="469" t="s">
        <v>628</v>
      </c>
      <c r="Y69" s="469" t="s">
        <v>383</v>
      </c>
      <c r="BK69" s="737" t="s">
        <v>503</v>
      </c>
      <c r="BL69" s="451">
        <v>0.54861111111111105</v>
      </c>
      <c r="BM69" s="421">
        <v>45309</v>
      </c>
      <c r="BN69" s="452">
        <v>70</v>
      </c>
      <c r="BO69" s="452">
        <v>8893</v>
      </c>
      <c r="BP69" s="402">
        <f t="shared" si="45"/>
        <v>0.16470588235294117</v>
      </c>
      <c r="BQ69" s="476">
        <v>7727</v>
      </c>
      <c r="BR69" s="452"/>
      <c r="BS69" s="452"/>
      <c r="BT69" s="385"/>
      <c r="BU69" s="355"/>
      <c r="BW69" s="385"/>
      <c r="BX69" s="421">
        <v>45343</v>
      </c>
      <c r="BY69" s="452">
        <v>64</v>
      </c>
      <c r="BZ69" s="452">
        <v>96847</v>
      </c>
      <c r="CA69" s="692">
        <f t="shared" si="46"/>
        <v>1936.94</v>
      </c>
      <c r="CB69" s="452">
        <v>8162</v>
      </c>
      <c r="CC69" s="452"/>
      <c r="CD69" s="385"/>
      <c r="CH69" s="426">
        <v>0.70694444444444449</v>
      </c>
      <c r="CI69" s="408">
        <v>45540</v>
      </c>
      <c r="CJ69" s="385">
        <v>144</v>
      </c>
      <c r="CK69" s="385">
        <v>1544</v>
      </c>
      <c r="CL69" s="527">
        <f t="shared" si="17"/>
        <v>7.4951456310679614</v>
      </c>
      <c r="CM69" s="440">
        <v>8707</v>
      </c>
      <c r="CN69" s="385" t="s">
        <v>170</v>
      </c>
      <c r="CO69" s="385" t="s">
        <v>390</v>
      </c>
      <c r="CR69" s="399" t="s">
        <v>623</v>
      </c>
      <c r="CS69" s="426">
        <v>0.46736111111111112</v>
      </c>
      <c r="CT69" s="408">
        <v>45834</v>
      </c>
      <c r="CU69" s="385">
        <v>230</v>
      </c>
      <c r="CV69" s="385">
        <v>6977</v>
      </c>
      <c r="CW69" s="393">
        <f t="shared" si="48"/>
        <v>59</v>
      </c>
      <c r="CX69" s="385">
        <v>10790</v>
      </c>
      <c r="CY69" s="385" t="s">
        <v>591</v>
      </c>
      <c r="CZ69" s="385" t="s">
        <v>434</v>
      </c>
      <c r="DC69" s="409" t="s">
        <v>115</v>
      </c>
      <c r="DD69" s="700">
        <v>0.41249999999999998</v>
      </c>
      <c r="DE69" s="701">
        <v>46006</v>
      </c>
      <c r="DF69" s="539">
        <v>54</v>
      </c>
      <c r="DG69" s="539"/>
      <c r="DH69" s="742">
        <f t="shared" si="44"/>
        <v>0</v>
      </c>
      <c r="DI69" s="539">
        <v>11106</v>
      </c>
      <c r="DJ69" s="539" t="s">
        <v>168</v>
      </c>
      <c r="DK69" s="539" t="s">
        <v>581</v>
      </c>
      <c r="DN69" s="568" t="str">
        <f>+DN68</f>
        <v>EX13</v>
      </c>
      <c r="DO69" s="569">
        <v>0.57708333333333328</v>
      </c>
      <c r="DP69" s="570">
        <v>45632</v>
      </c>
      <c r="DQ69" s="568">
        <v>60</v>
      </c>
      <c r="DR69" s="568">
        <v>1275</v>
      </c>
      <c r="DS69" s="731">
        <f t="shared" ref="DS69:DS92" si="51">(DR69-DR68)/DQ68</f>
        <v>5.1150895140664961E-2</v>
      </c>
      <c r="DT69" s="568">
        <v>7337</v>
      </c>
      <c r="DU69" s="568" t="str">
        <f>+DU68</f>
        <v>RIGO</v>
      </c>
      <c r="DV69" s="568" t="str">
        <f t="shared" si="49"/>
        <v>PUERTA JARDIN</v>
      </c>
      <c r="DY69" s="451">
        <v>0.60902777777777772</v>
      </c>
      <c r="DZ69" s="421">
        <v>45898</v>
      </c>
      <c r="EA69" s="452">
        <v>330</v>
      </c>
      <c r="EB69" s="452">
        <v>1580</v>
      </c>
      <c r="EC69" s="527">
        <f t="shared" si="42"/>
        <v>25</v>
      </c>
      <c r="ED69" s="452">
        <v>11409</v>
      </c>
      <c r="EE69" s="452" t="s">
        <v>308</v>
      </c>
      <c r="EF69" s="452" t="s">
        <v>613</v>
      </c>
      <c r="EG69" s="519"/>
      <c r="EW69" s="419" t="s">
        <v>63</v>
      </c>
      <c r="EX69" s="452"/>
      <c r="EY69" s="421">
        <v>45335</v>
      </c>
      <c r="EZ69" s="452">
        <v>90</v>
      </c>
      <c r="FA69" s="452">
        <v>0</v>
      </c>
      <c r="FB69" s="452">
        <v>0</v>
      </c>
      <c r="FC69" s="452">
        <v>8103</v>
      </c>
      <c r="FD69" s="452"/>
      <c r="FE69" s="385"/>
      <c r="FR69" s="509" t="s">
        <v>288</v>
      </c>
      <c r="FS69" s="426">
        <v>0.33263888888888887</v>
      </c>
      <c r="FT69" s="408">
        <v>45796</v>
      </c>
      <c r="FU69" s="385">
        <v>58</v>
      </c>
      <c r="FV69" s="385"/>
      <c r="FW69" s="793">
        <f t="shared" si="50"/>
        <v>-12.171428571428571</v>
      </c>
      <c r="FX69" s="385">
        <v>9825</v>
      </c>
      <c r="FY69" s="385" t="s">
        <v>598</v>
      </c>
      <c r="FZ69" s="385" t="s">
        <v>626</v>
      </c>
    </row>
    <row r="70" spans="2:197" ht="16.5" thickBot="1" x14ac:dyDescent="0.3">
      <c r="B70" s="354"/>
      <c r="C70" s="354"/>
      <c r="D70" s="795" t="s">
        <v>621</v>
      </c>
      <c r="E70" s="796"/>
      <c r="F70" s="513">
        <v>46059</v>
      </c>
      <c r="G70" s="469">
        <v>23</v>
      </c>
      <c r="H70" s="469">
        <v>132063</v>
      </c>
      <c r="I70" s="797">
        <v>10501</v>
      </c>
      <c r="R70" s="491">
        <v>0.5625</v>
      </c>
      <c r="S70" s="513">
        <v>46099</v>
      </c>
      <c r="T70" s="469">
        <v>60</v>
      </c>
      <c r="U70" s="540">
        <v>1316</v>
      </c>
      <c r="V70" s="798">
        <f t="shared" si="47"/>
        <v>10</v>
      </c>
      <c r="W70" s="469">
        <v>12756</v>
      </c>
      <c r="X70" s="469" t="s">
        <v>628</v>
      </c>
      <c r="Y70" s="469" t="s">
        <v>383</v>
      </c>
      <c r="Z70" s="469" t="s">
        <v>630</v>
      </c>
      <c r="BK70" s="737" t="s">
        <v>503</v>
      </c>
      <c r="BL70" s="426">
        <v>0.62222222222222223</v>
      </c>
      <c r="BM70" s="408">
        <v>45314</v>
      </c>
      <c r="BN70" s="385">
        <v>110</v>
      </c>
      <c r="BO70" s="385">
        <v>8913</v>
      </c>
      <c r="BP70" s="402">
        <f t="shared" si="45"/>
        <v>0.2857142857142857</v>
      </c>
      <c r="BQ70" s="440">
        <v>7872</v>
      </c>
      <c r="BR70" s="385"/>
      <c r="BS70" s="385"/>
      <c r="BT70" s="385"/>
      <c r="BU70" s="355"/>
      <c r="BV70" s="743" t="s">
        <v>306</v>
      </c>
      <c r="BW70" s="426">
        <v>0.53263888888888888</v>
      </c>
      <c r="BX70" s="408">
        <v>45348</v>
      </c>
      <c r="BY70" s="385">
        <v>62</v>
      </c>
      <c r="BZ70" s="385"/>
      <c r="CA70" s="692">
        <f t="shared" si="46"/>
        <v>-1513.234375</v>
      </c>
      <c r="CB70" s="385">
        <v>8402</v>
      </c>
      <c r="CC70" s="385"/>
      <c r="CD70" s="385"/>
      <c r="CH70" s="451">
        <v>0.70694444444444449</v>
      </c>
      <c r="CI70" s="421">
        <v>45540</v>
      </c>
      <c r="CJ70" s="452">
        <v>100</v>
      </c>
      <c r="CK70" s="452">
        <v>1544</v>
      </c>
      <c r="CL70" s="527">
        <f t="shared" si="17"/>
        <v>0</v>
      </c>
      <c r="CM70" s="476">
        <v>8707</v>
      </c>
      <c r="CN70" s="452" t="s">
        <v>170</v>
      </c>
      <c r="CO70" s="452" t="s">
        <v>390</v>
      </c>
      <c r="CP70" s="799" t="s">
        <v>148</v>
      </c>
      <c r="CR70" s="399" t="s">
        <v>623</v>
      </c>
      <c r="CS70" s="426">
        <v>0.4465277777777778</v>
      </c>
      <c r="CT70" s="408">
        <v>45838</v>
      </c>
      <c r="CU70" s="385">
        <v>80</v>
      </c>
      <c r="CV70" s="385">
        <v>6992</v>
      </c>
      <c r="CW70" s="393">
        <f t="shared" si="48"/>
        <v>15</v>
      </c>
      <c r="CX70" s="385">
        <v>10714</v>
      </c>
      <c r="CY70" s="385" t="s">
        <v>591</v>
      </c>
      <c r="CZ70" s="385" t="s">
        <v>434</v>
      </c>
      <c r="DC70" s="409" t="s">
        <v>115</v>
      </c>
      <c r="DD70" s="700">
        <v>0.33680555555555558</v>
      </c>
      <c r="DE70" s="701">
        <v>46013</v>
      </c>
      <c r="DF70" s="539">
        <v>20</v>
      </c>
      <c r="DG70" s="539"/>
      <c r="DH70" s="742"/>
      <c r="DI70" s="539">
        <v>11142</v>
      </c>
      <c r="DJ70" s="539" t="s">
        <v>168</v>
      </c>
      <c r="DK70" s="539" t="s">
        <v>581</v>
      </c>
      <c r="DN70" s="568" t="s">
        <v>60</v>
      </c>
      <c r="DO70" s="569">
        <v>0.36388888888888887</v>
      </c>
      <c r="DP70" s="570">
        <v>45635</v>
      </c>
      <c r="DQ70" s="568">
        <v>339</v>
      </c>
      <c r="DR70" s="568">
        <v>1279</v>
      </c>
      <c r="DS70" s="731">
        <f t="shared" si="51"/>
        <v>6.6666666666666666E-2</v>
      </c>
      <c r="DT70" s="568">
        <v>7338</v>
      </c>
      <c r="DU70" s="568" t="s">
        <v>388</v>
      </c>
      <c r="DV70" s="568" t="str">
        <f t="shared" si="49"/>
        <v>PUERTA JARDIN</v>
      </c>
      <c r="DX70" s="442" t="s">
        <v>286</v>
      </c>
      <c r="DY70" s="426">
        <v>0.4152777777777778</v>
      </c>
      <c r="DZ70" s="408">
        <v>45903</v>
      </c>
      <c r="EA70" s="385">
        <v>303</v>
      </c>
      <c r="EB70" s="385">
        <v>1604</v>
      </c>
      <c r="EC70" s="389">
        <f t="shared" si="42"/>
        <v>24</v>
      </c>
      <c r="ED70" s="385">
        <v>11431</v>
      </c>
      <c r="EE70" s="385" t="s">
        <v>308</v>
      </c>
      <c r="EF70" s="385" t="s">
        <v>613</v>
      </c>
      <c r="EG70" s="470"/>
      <c r="EW70" s="419" t="s">
        <v>63</v>
      </c>
      <c r="EX70" s="451">
        <v>0.47916666666666669</v>
      </c>
      <c r="EY70" s="421">
        <v>45348</v>
      </c>
      <c r="EZ70" s="452">
        <v>76</v>
      </c>
      <c r="FA70" s="452">
        <v>0</v>
      </c>
      <c r="FB70" s="452">
        <v>0</v>
      </c>
      <c r="FC70" s="452">
        <v>8401</v>
      </c>
      <c r="FD70" s="385" t="s">
        <v>631</v>
      </c>
      <c r="FE70" s="385" t="s">
        <v>632</v>
      </c>
      <c r="FF70" s="657"/>
      <c r="FG70" s="657"/>
      <c r="FH70" s="657"/>
      <c r="FI70" s="657"/>
      <c r="FJ70" s="657"/>
      <c r="FK70" s="657"/>
      <c r="FL70" s="657"/>
      <c r="FM70" s="657"/>
      <c r="FN70" s="657"/>
      <c r="FO70" s="657"/>
      <c r="FP70" s="657"/>
      <c r="FQ70" s="657"/>
      <c r="FR70" s="509" t="s">
        <v>288</v>
      </c>
      <c r="FS70" s="426">
        <v>0.48194444444444445</v>
      </c>
      <c r="FT70" s="408">
        <v>45868</v>
      </c>
      <c r="FU70" s="385">
        <v>31</v>
      </c>
      <c r="FV70" s="385"/>
      <c r="FW70" s="793">
        <f t="shared" si="50"/>
        <v>-44.173913043478258</v>
      </c>
      <c r="FX70" s="385">
        <v>10220</v>
      </c>
      <c r="FY70" s="385" t="s">
        <v>417</v>
      </c>
      <c r="FZ70" s="385" t="s">
        <v>406</v>
      </c>
    </row>
    <row r="71" spans="2:197" ht="16.5" thickBot="1" x14ac:dyDescent="0.3">
      <c r="B71" s="354"/>
      <c r="C71" s="354"/>
      <c r="D71" s="354"/>
      <c r="E71" s="354"/>
      <c r="F71" s="354"/>
      <c r="G71" s="354"/>
      <c r="H71" s="354"/>
      <c r="I71" s="354"/>
      <c r="R71" s="491">
        <v>0.46041666666666664</v>
      </c>
      <c r="S71" s="513">
        <v>46101</v>
      </c>
      <c r="T71" s="469">
        <v>53</v>
      </c>
      <c r="U71" s="540">
        <v>1329</v>
      </c>
      <c r="V71" s="798">
        <f t="shared" si="47"/>
        <v>13</v>
      </c>
      <c r="W71" s="469">
        <v>12779</v>
      </c>
      <c r="X71" s="469" t="s">
        <v>628</v>
      </c>
      <c r="Y71" s="469" t="s">
        <v>383</v>
      </c>
      <c r="Z71" s="469" t="s">
        <v>633</v>
      </c>
      <c r="BK71" s="737" t="s">
        <v>503</v>
      </c>
      <c r="BL71" s="426"/>
      <c r="BM71" s="408">
        <v>45323</v>
      </c>
      <c r="BN71" s="385">
        <v>200</v>
      </c>
      <c r="BO71" s="385"/>
      <c r="BP71" s="402"/>
      <c r="BQ71" s="440">
        <v>7963</v>
      </c>
      <c r="BR71" s="385"/>
      <c r="BS71" s="385"/>
      <c r="BT71" s="385"/>
      <c r="BU71" s="355"/>
      <c r="BW71" s="451">
        <v>0.36805555555555558</v>
      </c>
      <c r="BX71" s="421">
        <v>45349</v>
      </c>
      <c r="BY71" s="452">
        <v>120</v>
      </c>
      <c r="BZ71" s="452"/>
      <c r="CA71" s="692">
        <f t="shared" si="46"/>
        <v>0</v>
      </c>
      <c r="CB71" s="800">
        <v>4857</v>
      </c>
      <c r="CC71" s="800"/>
      <c r="CD71" s="385"/>
      <c r="CG71" s="442" t="s">
        <v>307</v>
      </c>
      <c r="CH71" s="426">
        <v>0.4861111111111111</v>
      </c>
      <c r="CI71" s="408">
        <v>45544</v>
      </c>
      <c r="CJ71" s="385">
        <v>100</v>
      </c>
      <c r="CK71" s="385">
        <v>1557</v>
      </c>
      <c r="CL71" s="527">
        <f t="shared" ref="CL71:CL104" si="52">(CK71-CK70)/CJ70</f>
        <v>0.13</v>
      </c>
      <c r="CM71" s="440">
        <v>8723</v>
      </c>
      <c r="CN71" s="385" t="s">
        <v>170</v>
      </c>
      <c r="CO71" s="385" t="s">
        <v>390</v>
      </c>
      <c r="CS71" s="426">
        <v>0.71111111111111114</v>
      </c>
      <c r="CT71" s="408">
        <v>45842</v>
      </c>
      <c r="CU71" s="385">
        <v>91</v>
      </c>
      <c r="CV71" s="801">
        <v>6992</v>
      </c>
      <c r="CW71" s="676">
        <f t="shared" si="48"/>
        <v>0</v>
      </c>
      <c r="CX71" s="385">
        <v>10737</v>
      </c>
      <c r="CY71" s="385" t="s">
        <v>591</v>
      </c>
      <c r="CZ71" s="385" t="s">
        <v>434</v>
      </c>
      <c r="DC71" s="409" t="s">
        <v>115</v>
      </c>
      <c r="DD71" s="700">
        <v>0.4777777777777778</v>
      </c>
      <c r="DE71" s="701">
        <v>46383</v>
      </c>
      <c r="DF71" s="539">
        <v>59</v>
      </c>
      <c r="DG71" s="539"/>
      <c r="DH71" s="742"/>
      <c r="DI71" s="539">
        <v>9964</v>
      </c>
      <c r="DJ71" s="539" t="s">
        <v>168</v>
      </c>
      <c r="DK71" s="539" t="s">
        <v>581</v>
      </c>
      <c r="DN71" s="568" t="s">
        <v>60</v>
      </c>
      <c r="DO71" s="569">
        <v>0.4770833333333333</v>
      </c>
      <c r="DP71" s="570">
        <v>45639</v>
      </c>
      <c r="DQ71" s="568">
        <v>311</v>
      </c>
      <c r="DR71" s="568">
        <v>1299</v>
      </c>
      <c r="DS71" s="731">
        <f t="shared" si="51"/>
        <v>5.8997050147492625E-2</v>
      </c>
      <c r="DT71" s="568">
        <v>7377</v>
      </c>
      <c r="DU71" s="568" t="s">
        <v>388</v>
      </c>
      <c r="DV71" s="568" t="str">
        <f t="shared" si="49"/>
        <v>PUERTA JARDIN</v>
      </c>
      <c r="DX71" s="442" t="s">
        <v>286</v>
      </c>
      <c r="DY71" s="426">
        <v>0.46527777777777779</v>
      </c>
      <c r="DZ71" s="408">
        <v>45906</v>
      </c>
      <c r="EA71" s="385">
        <v>365</v>
      </c>
      <c r="EB71" s="385">
        <v>1625</v>
      </c>
      <c r="EC71" s="389">
        <f t="shared" si="42"/>
        <v>21</v>
      </c>
      <c r="ED71" s="385">
        <v>10810</v>
      </c>
      <c r="EE71" s="385" t="s">
        <v>308</v>
      </c>
      <c r="EF71" s="385" t="s">
        <v>613</v>
      </c>
      <c r="EG71" s="470"/>
      <c r="EW71" s="419" t="s">
        <v>63</v>
      </c>
      <c r="EX71" s="426">
        <v>0.47152777777777777</v>
      </c>
      <c r="EY71" s="408">
        <v>45355</v>
      </c>
      <c r="EZ71" s="385">
        <v>27</v>
      </c>
      <c r="FA71" s="385">
        <v>4511.2</v>
      </c>
      <c r="FB71" s="385">
        <v>0</v>
      </c>
      <c r="FC71" s="385">
        <v>8091</v>
      </c>
      <c r="FD71" s="385" t="s">
        <v>631</v>
      </c>
      <c r="FE71" s="385" t="s">
        <v>632</v>
      </c>
      <c r="FR71" s="509" t="s">
        <v>288</v>
      </c>
      <c r="FS71" s="426"/>
      <c r="FT71" s="408">
        <v>45884</v>
      </c>
      <c r="FU71" s="385">
        <v>73</v>
      </c>
      <c r="FV71" s="385">
        <v>3109</v>
      </c>
      <c r="FW71" s="793">
        <f t="shared" si="50"/>
        <v>53.603448275862071</v>
      </c>
      <c r="FX71" s="385">
        <v>10376</v>
      </c>
      <c r="FY71" s="385" t="s">
        <v>417</v>
      </c>
      <c r="FZ71" s="385" t="s">
        <v>173</v>
      </c>
    </row>
    <row r="72" spans="2:197" ht="16.5" thickBot="1" x14ac:dyDescent="0.3">
      <c r="B72" s="354"/>
      <c r="C72" s="354"/>
      <c r="D72" s="354"/>
      <c r="E72" s="354"/>
      <c r="F72" s="354"/>
      <c r="G72" s="354"/>
      <c r="H72" s="354"/>
      <c r="I72" s="354"/>
      <c r="BK72" s="737" t="s">
        <v>503</v>
      </c>
      <c r="BL72" s="426"/>
      <c r="BM72" s="408">
        <v>45331</v>
      </c>
      <c r="BN72" s="385">
        <v>100</v>
      </c>
      <c r="BO72" s="385">
        <v>8985</v>
      </c>
      <c r="BP72" s="402">
        <f t="shared" ref="BP72:BP86" si="53">(BO72-BO71)/BN71</f>
        <v>44.924999999999997</v>
      </c>
      <c r="BQ72" s="440">
        <v>7500</v>
      </c>
      <c r="BR72" s="385"/>
      <c r="BS72" s="385"/>
      <c r="BT72" s="385"/>
      <c r="BU72" s="355"/>
      <c r="BV72" s="743" t="s">
        <v>306</v>
      </c>
      <c r="BW72" s="426">
        <v>0.51944444444444449</v>
      </c>
      <c r="BX72" s="408">
        <v>45355</v>
      </c>
      <c r="BY72" s="385">
        <v>118</v>
      </c>
      <c r="BZ72" s="385">
        <v>9728.7999999999993</v>
      </c>
      <c r="CA72" s="692">
        <f t="shared" si="46"/>
        <v>81.073333333333323</v>
      </c>
      <c r="CB72" s="385">
        <v>8093</v>
      </c>
      <c r="CC72" s="385"/>
      <c r="CD72" s="385"/>
      <c r="CH72" s="426">
        <v>0.54861111111111116</v>
      </c>
      <c r="CI72" s="408">
        <v>45546</v>
      </c>
      <c r="CJ72" s="385">
        <v>50</v>
      </c>
      <c r="CK72" s="385">
        <v>1570</v>
      </c>
      <c r="CL72" s="527">
        <f t="shared" si="52"/>
        <v>0.13</v>
      </c>
      <c r="CM72" s="440">
        <v>8736</v>
      </c>
      <c r="CN72" s="385" t="s">
        <v>170</v>
      </c>
      <c r="CO72" s="385" t="s">
        <v>390</v>
      </c>
      <c r="CR72" s="399" t="s">
        <v>623</v>
      </c>
      <c r="CS72" s="451">
        <v>0.63680555555555551</v>
      </c>
      <c r="CT72" s="421">
        <v>45859</v>
      </c>
      <c r="CU72" s="452">
        <v>100</v>
      </c>
      <c r="CV72" s="452">
        <v>7031</v>
      </c>
      <c r="CW72" s="676">
        <f t="shared" si="48"/>
        <v>39</v>
      </c>
      <c r="CX72" s="452">
        <v>10204</v>
      </c>
      <c r="CY72" s="452" t="s">
        <v>532</v>
      </c>
      <c r="CZ72" s="452" t="s">
        <v>434</v>
      </c>
      <c r="DC72" s="409" t="s">
        <v>115</v>
      </c>
      <c r="DD72" s="700">
        <v>0.53125</v>
      </c>
      <c r="DE72" s="701">
        <v>46034</v>
      </c>
      <c r="DF72" s="539">
        <v>25</v>
      </c>
      <c r="DG72" s="539"/>
      <c r="DH72" s="742"/>
      <c r="DI72" s="539">
        <v>9928</v>
      </c>
      <c r="DJ72" s="539" t="s">
        <v>168</v>
      </c>
      <c r="DK72" s="539" t="s">
        <v>408</v>
      </c>
      <c r="DN72" s="568" t="s">
        <v>60</v>
      </c>
      <c r="DO72" s="569">
        <v>0.59652777777777777</v>
      </c>
      <c r="DP72" s="570">
        <v>45642</v>
      </c>
      <c r="DQ72" s="568">
        <v>279</v>
      </c>
      <c r="DR72" s="568">
        <v>1313.01</v>
      </c>
      <c r="DS72" s="731">
        <f t="shared" si="51"/>
        <v>4.5048231511253992E-2</v>
      </c>
      <c r="DT72" s="568">
        <v>7393</v>
      </c>
      <c r="DU72" s="568" t="str">
        <f>+DU71</f>
        <v>RIGO</v>
      </c>
      <c r="DV72" s="568" t="str">
        <f t="shared" si="49"/>
        <v>PUERTA JARDIN</v>
      </c>
      <c r="DY72" s="426">
        <v>0.51180555555555551</v>
      </c>
      <c r="DZ72" s="408">
        <v>45906</v>
      </c>
      <c r="EA72" s="385">
        <v>19</v>
      </c>
      <c r="EB72" s="385">
        <v>1626.1</v>
      </c>
      <c r="EC72" s="389">
        <f t="shared" si="42"/>
        <v>1.0999999999999091</v>
      </c>
      <c r="ED72" s="385">
        <v>10811</v>
      </c>
      <c r="EE72" s="385" t="s">
        <v>308</v>
      </c>
      <c r="EF72" s="385" t="s">
        <v>582</v>
      </c>
      <c r="EG72" s="470" t="s">
        <v>634</v>
      </c>
      <c r="EW72" s="419" t="s">
        <v>63</v>
      </c>
      <c r="EX72" s="426">
        <v>0.67152777777777772</v>
      </c>
      <c r="EY72" s="408">
        <v>45364</v>
      </c>
      <c r="EZ72" s="385">
        <v>37</v>
      </c>
      <c r="FA72" s="385">
        <v>4566</v>
      </c>
      <c r="FB72" s="385">
        <v>0</v>
      </c>
      <c r="FC72" s="385">
        <v>5075</v>
      </c>
      <c r="FD72" s="385" t="s">
        <v>631</v>
      </c>
      <c r="FE72" s="385" t="s">
        <v>632</v>
      </c>
      <c r="FR72" s="509" t="s">
        <v>288</v>
      </c>
      <c r="FS72" s="426">
        <v>0.40208333333333335</v>
      </c>
      <c r="FT72" s="408">
        <v>45891</v>
      </c>
      <c r="FU72" s="385">
        <v>67</v>
      </c>
      <c r="FV72" s="385">
        <v>3134</v>
      </c>
      <c r="FW72" s="385">
        <f>FV72-FV71</f>
        <v>25</v>
      </c>
      <c r="FX72" s="385">
        <v>10262</v>
      </c>
      <c r="FY72" s="385" t="s">
        <v>417</v>
      </c>
      <c r="FZ72" s="385" t="s">
        <v>173</v>
      </c>
    </row>
    <row r="73" spans="2:197" ht="16.5" thickBot="1" x14ac:dyDescent="0.3">
      <c r="B73" s="354"/>
      <c r="C73" s="354"/>
      <c r="D73" s="354"/>
      <c r="E73" s="354"/>
      <c r="F73" s="354"/>
      <c r="G73" s="354"/>
      <c r="H73" s="354"/>
      <c r="I73" s="354"/>
      <c r="Q73" s="802" t="s">
        <v>558</v>
      </c>
      <c r="R73" s="803"/>
      <c r="S73" s="385">
        <f>S74+250</f>
        <v>1200</v>
      </c>
      <c r="BK73" s="737" t="s">
        <v>503</v>
      </c>
      <c r="BL73" s="426">
        <v>0.36805555555555558</v>
      </c>
      <c r="BM73" s="408">
        <v>45339</v>
      </c>
      <c r="BN73" s="385">
        <v>189</v>
      </c>
      <c r="BO73" s="385">
        <v>9015</v>
      </c>
      <c r="BP73" s="402">
        <f t="shared" si="53"/>
        <v>0.3</v>
      </c>
      <c r="BQ73" s="440">
        <v>8016</v>
      </c>
      <c r="BR73" s="385"/>
      <c r="BS73" s="385"/>
      <c r="BT73" s="385"/>
      <c r="BU73" s="355"/>
      <c r="BW73" s="451">
        <v>0.61250000000000004</v>
      </c>
      <c r="BX73" s="421">
        <v>45357</v>
      </c>
      <c r="BY73" s="452">
        <v>123</v>
      </c>
      <c r="BZ73" s="452">
        <v>9745.2999999999993</v>
      </c>
      <c r="CA73" s="692">
        <f t="shared" si="46"/>
        <v>0.13983050847457626</v>
      </c>
      <c r="CB73" s="452">
        <v>8365</v>
      </c>
      <c r="CC73" s="452"/>
      <c r="CD73" s="385"/>
      <c r="CH73" s="451">
        <v>0.54861111111111116</v>
      </c>
      <c r="CI73" s="421">
        <v>45546</v>
      </c>
      <c r="CJ73" s="452">
        <v>70</v>
      </c>
      <c r="CK73" s="452">
        <v>1570</v>
      </c>
      <c r="CL73" s="527">
        <f t="shared" si="52"/>
        <v>0</v>
      </c>
      <c r="CM73" s="476">
        <v>8736</v>
      </c>
      <c r="CN73" s="452" t="s">
        <v>170</v>
      </c>
      <c r="CO73" s="452" t="s">
        <v>390</v>
      </c>
      <c r="CP73" s="799" t="s">
        <v>148</v>
      </c>
      <c r="CR73" s="399" t="s">
        <v>623</v>
      </c>
      <c r="CS73" s="426"/>
      <c r="CT73" s="408">
        <v>45866</v>
      </c>
      <c r="CU73" s="385">
        <v>150</v>
      </c>
      <c r="CV73" s="385">
        <v>7047</v>
      </c>
      <c r="CW73" s="393">
        <f t="shared" si="48"/>
        <v>16</v>
      </c>
      <c r="CX73" s="385">
        <v>10325</v>
      </c>
      <c r="CY73" s="385" t="s">
        <v>168</v>
      </c>
      <c r="CZ73" s="385" t="s">
        <v>434</v>
      </c>
      <c r="DD73" s="700">
        <v>0.58611111111111114</v>
      </c>
      <c r="DE73" s="701">
        <v>46036</v>
      </c>
      <c r="DF73" s="539">
        <v>14</v>
      </c>
      <c r="DG73" s="539"/>
      <c r="DH73" s="742"/>
      <c r="DI73" s="539">
        <v>9942</v>
      </c>
      <c r="DJ73" s="539" t="s">
        <v>168</v>
      </c>
      <c r="DK73" s="539" t="s">
        <v>408</v>
      </c>
      <c r="DN73" s="568" t="s">
        <v>60</v>
      </c>
      <c r="DO73" s="569">
        <v>0.52638888888888891</v>
      </c>
      <c r="DP73" s="570">
        <v>45643</v>
      </c>
      <c r="DQ73" s="568">
        <v>245</v>
      </c>
      <c r="DR73" s="568">
        <v>1325.2</v>
      </c>
      <c r="DS73" s="731">
        <f t="shared" si="51"/>
        <v>4.3691756272401627E-2</v>
      </c>
      <c r="DT73" s="568">
        <v>9065</v>
      </c>
      <c r="DU73" s="568" t="s">
        <v>635</v>
      </c>
      <c r="DV73" s="568" t="str">
        <f t="shared" si="49"/>
        <v>PUERTA JARDIN</v>
      </c>
      <c r="DY73" s="451">
        <v>0.54374999999999996</v>
      </c>
      <c r="DZ73" s="421">
        <v>45910</v>
      </c>
      <c r="EA73" s="452">
        <v>286</v>
      </c>
      <c r="EB73" s="452">
        <v>1641</v>
      </c>
      <c r="EC73" s="527">
        <f t="shared" si="42"/>
        <v>14.900000000000091</v>
      </c>
      <c r="ED73" s="452">
        <v>10820</v>
      </c>
      <c r="EE73" s="452" t="s">
        <v>308</v>
      </c>
      <c r="EF73" s="452" t="s">
        <v>582</v>
      </c>
      <c r="EG73" s="519"/>
      <c r="EW73" s="419" t="s">
        <v>63</v>
      </c>
      <c r="EX73" s="426"/>
      <c r="EY73" s="408">
        <v>45370</v>
      </c>
      <c r="EZ73" s="385">
        <v>92</v>
      </c>
      <c r="FA73" s="385">
        <v>4591.5</v>
      </c>
      <c r="FB73" s="385">
        <v>0</v>
      </c>
      <c r="FC73" s="385">
        <v>5165</v>
      </c>
      <c r="FD73" s="385" t="s">
        <v>631</v>
      </c>
      <c r="FE73" s="385" t="s">
        <v>632</v>
      </c>
      <c r="FR73" s="509" t="s">
        <v>288</v>
      </c>
      <c r="FS73" s="426">
        <v>0.59583333333333333</v>
      </c>
      <c r="FT73" s="408">
        <v>45896</v>
      </c>
      <c r="FU73" s="385">
        <v>76</v>
      </c>
      <c r="FV73" s="385">
        <v>3159</v>
      </c>
      <c r="FW73" s="385">
        <f t="shared" ref="FW73:FW108" si="54">FV73-FV72</f>
        <v>25</v>
      </c>
      <c r="FX73" s="385">
        <v>10289</v>
      </c>
      <c r="FY73" s="385" t="s">
        <v>417</v>
      </c>
      <c r="FZ73" s="385" t="s">
        <v>173</v>
      </c>
    </row>
    <row r="74" spans="2:197" ht="16.5" thickBot="1" x14ac:dyDescent="0.3">
      <c r="B74" s="354"/>
      <c r="C74" s="354"/>
      <c r="D74" s="354"/>
      <c r="E74" s="354"/>
      <c r="F74" s="354"/>
      <c r="G74" s="354"/>
      <c r="H74" s="354"/>
      <c r="I74" s="354"/>
      <c r="Q74" s="671" t="s">
        <v>438</v>
      </c>
      <c r="R74" s="804"/>
      <c r="S74" s="385">
        <f>S75+250</f>
        <v>950</v>
      </c>
      <c r="T74" s="566">
        <v>45955</v>
      </c>
      <c r="BK74" s="737" t="s">
        <v>503</v>
      </c>
      <c r="BL74" s="451">
        <v>0.48958333333333331</v>
      </c>
      <c r="BM74" s="421">
        <v>45350</v>
      </c>
      <c r="BN74" s="452">
        <v>120</v>
      </c>
      <c r="BO74" s="452">
        <v>9059</v>
      </c>
      <c r="BP74" s="402">
        <f t="shared" si="53"/>
        <v>0.23280423280423279</v>
      </c>
      <c r="BQ74" s="476">
        <v>8441</v>
      </c>
      <c r="BR74" s="452"/>
      <c r="BS74" s="452"/>
      <c r="BT74" s="385"/>
      <c r="BU74" s="355"/>
      <c r="BV74" s="743" t="s">
        <v>306</v>
      </c>
      <c r="BW74" s="426">
        <v>0.38819444444444445</v>
      </c>
      <c r="BX74" s="408">
        <v>45360</v>
      </c>
      <c r="BY74" s="385">
        <v>65</v>
      </c>
      <c r="BZ74" s="385">
        <v>9764.7000000000007</v>
      </c>
      <c r="CA74" s="692">
        <f t="shared" si="46"/>
        <v>0.1577235772357842</v>
      </c>
      <c r="CB74" s="385">
        <v>8397</v>
      </c>
      <c r="CC74" s="385"/>
      <c r="CD74" s="385"/>
      <c r="CG74" s="442" t="s">
        <v>307</v>
      </c>
      <c r="CH74" s="451">
        <v>0.51458333333333328</v>
      </c>
      <c r="CI74" s="421">
        <v>45553</v>
      </c>
      <c r="CJ74" s="452">
        <v>191</v>
      </c>
      <c r="CK74" s="452">
        <v>1576</v>
      </c>
      <c r="CL74" s="527">
        <f t="shared" si="52"/>
        <v>8.5714285714285715E-2</v>
      </c>
      <c r="CM74" s="476">
        <v>9084</v>
      </c>
      <c r="CN74" s="452" t="s">
        <v>170</v>
      </c>
      <c r="CO74" s="452" t="s">
        <v>390</v>
      </c>
      <c r="CS74" s="451">
        <v>0.55833333333333335</v>
      </c>
      <c r="CT74" s="421">
        <v>45868</v>
      </c>
      <c r="CU74" s="452">
        <v>122</v>
      </c>
      <c r="CV74" s="452">
        <v>7044</v>
      </c>
      <c r="CW74" s="676">
        <f t="shared" si="48"/>
        <v>-3</v>
      </c>
      <c r="CX74" s="452">
        <v>10221</v>
      </c>
      <c r="CY74" s="452" t="s">
        <v>168</v>
      </c>
      <c r="CZ74" s="452" t="s">
        <v>434</v>
      </c>
      <c r="DA74" s="453"/>
      <c r="DC74" s="409" t="s">
        <v>115</v>
      </c>
      <c r="DD74" s="700">
        <v>0.3611111111111111</v>
      </c>
      <c r="DE74" s="701">
        <v>46042</v>
      </c>
      <c r="DF74" s="539">
        <v>37</v>
      </c>
      <c r="DG74" s="539"/>
      <c r="DH74" s="742"/>
      <c r="DI74" s="539">
        <v>10626</v>
      </c>
      <c r="DJ74" s="539" t="s">
        <v>168</v>
      </c>
      <c r="DK74" s="539" t="s">
        <v>408</v>
      </c>
      <c r="DN74" s="568" t="str">
        <f>+DN73</f>
        <v>EX13</v>
      </c>
      <c r="DO74" s="569">
        <v>0.65277777777777779</v>
      </c>
      <c r="DP74" s="570">
        <v>45646</v>
      </c>
      <c r="DQ74" s="568">
        <v>121</v>
      </c>
      <c r="DR74" s="568">
        <v>1343.6</v>
      </c>
      <c r="DS74" s="731">
        <f t="shared" si="51"/>
        <v>7.5102040816325974E-2</v>
      </c>
      <c r="DT74" s="568">
        <v>9097</v>
      </c>
      <c r="DU74" s="568" t="s">
        <v>388</v>
      </c>
      <c r="DV74" s="568" t="str">
        <f t="shared" si="49"/>
        <v>PUERTA JARDIN</v>
      </c>
      <c r="DX74" s="442" t="s">
        <v>286</v>
      </c>
      <c r="DY74" s="426">
        <v>0.40972222222222221</v>
      </c>
      <c r="DZ74" s="408">
        <v>45913</v>
      </c>
      <c r="EA74" s="385">
        <v>381</v>
      </c>
      <c r="EB74" s="385">
        <v>1660</v>
      </c>
      <c r="EC74" s="389">
        <f t="shared" si="42"/>
        <v>19</v>
      </c>
      <c r="ED74" s="385">
        <v>10841</v>
      </c>
      <c r="EE74" s="385" t="s">
        <v>308</v>
      </c>
      <c r="EF74" s="385" t="s">
        <v>582</v>
      </c>
      <c r="EG74" s="470"/>
      <c r="EX74" s="385"/>
      <c r="EY74" s="408">
        <v>45373</v>
      </c>
      <c r="EZ74" s="385">
        <v>76</v>
      </c>
      <c r="FA74" s="385">
        <v>4612.2</v>
      </c>
      <c r="FB74" s="385">
        <v>0</v>
      </c>
      <c r="FC74" s="385">
        <v>5194</v>
      </c>
      <c r="FD74" s="385" t="s">
        <v>631</v>
      </c>
      <c r="FE74" s="385" t="s">
        <v>632</v>
      </c>
      <c r="FS74" s="451">
        <v>0.46736111111111112</v>
      </c>
      <c r="FT74" s="421">
        <v>45898</v>
      </c>
      <c r="FU74" s="452">
        <v>33</v>
      </c>
      <c r="FV74" s="452">
        <v>3171</v>
      </c>
      <c r="FW74" s="385">
        <f t="shared" si="54"/>
        <v>12</v>
      </c>
      <c r="FX74" s="452">
        <v>11407</v>
      </c>
      <c r="FY74" s="452" t="s">
        <v>417</v>
      </c>
      <c r="FZ74" s="452" t="s">
        <v>173</v>
      </c>
    </row>
    <row r="75" spans="2:197" ht="16.5" thickBot="1" x14ac:dyDescent="0.3">
      <c r="B75" s="354"/>
      <c r="C75" s="354"/>
      <c r="D75" s="354"/>
      <c r="E75" s="354"/>
      <c r="F75" s="354"/>
      <c r="G75" s="354"/>
      <c r="H75" s="354"/>
      <c r="I75" s="354"/>
      <c r="Q75" s="597" t="s">
        <v>636</v>
      </c>
      <c r="R75" s="664"/>
      <c r="S75" s="469">
        <v>700</v>
      </c>
      <c r="T75" s="566">
        <v>45821</v>
      </c>
      <c r="BK75" s="737" t="s">
        <v>503</v>
      </c>
      <c r="BL75" s="426">
        <v>0.56597222222222221</v>
      </c>
      <c r="BM75" s="408">
        <v>45357</v>
      </c>
      <c r="BN75" s="385">
        <v>195</v>
      </c>
      <c r="BO75" s="385">
        <v>9095</v>
      </c>
      <c r="BP75" s="402">
        <f t="shared" si="53"/>
        <v>0.3</v>
      </c>
      <c r="BQ75" s="440">
        <v>8364</v>
      </c>
      <c r="BR75" s="385"/>
      <c r="BS75" s="385"/>
      <c r="BT75" s="385"/>
      <c r="BU75" s="355"/>
      <c r="BV75" s="743" t="s">
        <v>306</v>
      </c>
      <c r="BW75" s="426">
        <v>0.68402777777777779</v>
      </c>
      <c r="BX75" s="408">
        <v>45362</v>
      </c>
      <c r="BY75" s="385">
        <v>80</v>
      </c>
      <c r="BZ75" s="385">
        <v>9776</v>
      </c>
      <c r="CA75" s="692">
        <f t="shared" si="46"/>
        <v>0.17384615384614266</v>
      </c>
      <c r="CB75" s="385">
        <v>5055</v>
      </c>
      <c r="CC75" s="385"/>
      <c r="CD75" s="385"/>
      <c r="CG75" s="442" t="s">
        <v>307</v>
      </c>
      <c r="CH75" s="451">
        <v>0.53194444444444444</v>
      </c>
      <c r="CI75" s="421">
        <v>45562</v>
      </c>
      <c r="CJ75" s="452">
        <v>189</v>
      </c>
      <c r="CK75" s="452">
        <v>1601</v>
      </c>
      <c r="CL75" s="527">
        <f t="shared" si="52"/>
        <v>0.13089005235602094</v>
      </c>
      <c r="CM75" s="476">
        <v>9121</v>
      </c>
      <c r="CN75" s="452" t="s">
        <v>67</v>
      </c>
      <c r="CO75" s="452" t="s">
        <v>637</v>
      </c>
      <c r="CR75" s="399" t="s">
        <v>623</v>
      </c>
      <c r="CS75" s="426">
        <v>0.31041666666666667</v>
      </c>
      <c r="CT75" s="408">
        <v>45880</v>
      </c>
      <c r="CU75" s="385">
        <v>160</v>
      </c>
      <c r="CV75" s="385">
        <v>7044</v>
      </c>
      <c r="CW75" s="676">
        <f t="shared" si="48"/>
        <v>0</v>
      </c>
      <c r="CX75" s="385">
        <v>10221</v>
      </c>
      <c r="CY75" s="385"/>
      <c r="CZ75" s="385" t="s">
        <v>434</v>
      </c>
      <c r="DD75" s="700">
        <v>0.41944444444444445</v>
      </c>
      <c r="DE75" s="701">
        <v>46044</v>
      </c>
      <c r="DF75" s="539">
        <v>7</v>
      </c>
      <c r="DG75" s="539"/>
      <c r="DH75" s="742"/>
      <c r="DI75" s="539">
        <v>10642</v>
      </c>
      <c r="DJ75" s="539" t="s">
        <v>168</v>
      </c>
      <c r="DK75" s="539" t="s">
        <v>638</v>
      </c>
      <c r="DN75" s="568" t="str">
        <f>+DN74</f>
        <v>EX13</v>
      </c>
      <c r="DO75" s="569">
        <v>0.34722222222222221</v>
      </c>
      <c r="DP75" s="570">
        <v>45649</v>
      </c>
      <c r="DQ75" s="568">
        <v>250</v>
      </c>
      <c r="DR75" s="568">
        <v>1349</v>
      </c>
      <c r="DS75" s="731">
        <f t="shared" si="51"/>
        <v>4.4628099173554474E-2</v>
      </c>
      <c r="DT75" s="568">
        <v>12015</v>
      </c>
      <c r="DU75" s="568" t="str">
        <f>+DU74</f>
        <v>RIGO</v>
      </c>
      <c r="DV75" s="568" t="str">
        <f t="shared" si="49"/>
        <v>PUERTA JARDIN</v>
      </c>
      <c r="DY75" s="426">
        <v>0.39861111111111114</v>
      </c>
      <c r="DZ75" s="408">
        <v>45918</v>
      </c>
      <c r="EA75" s="385">
        <v>289</v>
      </c>
      <c r="EB75" s="385">
        <v>1680</v>
      </c>
      <c r="EC75" s="389">
        <f t="shared" si="42"/>
        <v>20</v>
      </c>
      <c r="ED75" s="385">
        <v>10955</v>
      </c>
      <c r="EE75" s="385" t="s">
        <v>308</v>
      </c>
      <c r="EF75" s="385" t="s">
        <v>582</v>
      </c>
      <c r="EG75" s="470"/>
      <c r="EW75" s="419" t="s">
        <v>63</v>
      </c>
      <c r="EX75" s="426">
        <v>0.34097222222222223</v>
      </c>
      <c r="EY75" s="408">
        <v>45376</v>
      </c>
      <c r="EZ75" s="385">
        <v>35</v>
      </c>
      <c r="FA75" s="385">
        <v>4621.6000000000004</v>
      </c>
      <c r="FB75" s="385">
        <v>0</v>
      </c>
      <c r="FC75" s="385">
        <v>7780</v>
      </c>
      <c r="FD75" s="385" t="s">
        <v>631</v>
      </c>
      <c r="FE75" s="385" t="s">
        <v>632</v>
      </c>
      <c r="FR75" s="509" t="s">
        <v>288</v>
      </c>
      <c r="FS75" s="426">
        <v>0.59375</v>
      </c>
      <c r="FT75" s="408">
        <v>45902</v>
      </c>
      <c r="FU75" s="385">
        <v>44</v>
      </c>
      <c r="FV75" s="385">
        <v>3190</v>
      </c>
      <c r="FW75" s="385">
        <f t="shared" si="54"/>
        <v>19</v>
      </c>
      <c r="FX75" s="385">
        <v>11426</v>
      </c>
      <c r="FY75" s="385" t="s">
        <v>417</v>
      </c>
      <c r="FZ75" s="385" t="s">
        <v>173</v>
      </c>
    </row>
    <row r="76" spans="2:197" ht="16.5" thickBot="1" x14ac:dyDescent="0.3">
      <c r="B76" s="354"/>
      <c r="C76" s="354"/>
      <c r="D76" s="354"/>
      <c r="E76" s="354"/>
      <c r="F76" s="354"/>
      <c r="G76" s="354"/>
      <c r="H76" s="354"/>
      <c r="I76" s="354"/>
      <c r="BK76" s="737" t="s">
        <v>503</v>
      </c>
      <c r="BL76" s="426">
        <v>0.54305555555555551</v>
      </c>
      <c r="BM76" s="408">
        <v>45365</v>
      </c>
      <c r="BN76" s="385">
        <v>215</v>
      </c>
      <c r="BO76" s="393"/>
      <c r="BP76" s="677">
        <f t="shared" si="53"/>
        <v>-46.641025641025642</v>
      </c>
      <c r="BQ76" s="618">
        <v>5089</v>
      </c>
      <c r="BR76" s="385"/>
      <c r="BS76" s="385"/>
      <c r="BT76" s="385"/>
      <c r="BU76" s="355"/>
      <c r="BW76" s="451">
        <v>0.67708333333333337</v>
      </c>
      <c r="BX76" s="421">
        <v>45365</v>
      </c>
      <c r="BY76" s="452">
        <v>128</v>
      </c>
      <c r="BZ76" s="452">
        <v>9792.2000000000007</v>
      </c>
      <c r="CA76" s="692">
        <f t="shared" si="46"/>
        <v>0.20250000000000909</v>
      </c>
      <c r="CB76" s="452">
        <v>5089</v>
      </c>
      <c r="CC76" s="452"/>
      <c r="CD76" s="385"/>
      <c r="CG76" s="442" t="s">
        <v>307</v>
      </c>
      <c r="CH76" s="426">
        <v>0.59791666666666665</v>
      </c>
      <c r="CI76" s="408">
        <v>45567</v>
      </c>
      <c r="CJ76" s="385">
        <v>190</v>
      </c>
      <c r="CK76" s="385">
        <v>1627</v>
      </c>
      <c r="CL76" s="527">
        <f t="shared" si="52"/>
        <v>0.13756613756613756</v>
      </c>
      <c r="CM76" s="440">
        <v>11104</v>
      </c>
      <c r="CN76" s="385" t="s">
        <v>639</v>
      </c>
      <c r="CO76" s="385" t="s">
        <v>637</v>
      </c>
      <c r="CR76" s="409" t="s">
        <v>623</v>
      </c>
      <c r="CS76" s="426">
        <v>0.52430555555555558</v>
      </c>
      <c r="CT76" s="408">
        <v>45887</v>
      </c>
      <c r="CU76" s="385">
        <v>198</v>
      </c>
      <c r="CV76" s="385">
        <v>7086</v>
      </c>
      <c r="CW76" s="393">
        <f t="shared" si="48"/>
        <v>42</v>
      </c>
      <c r="CX76" s="385">
        <v>10221</v>
      </c>
      <c r="CY76" s="385" t="s">
        <v>388</v>
      </c>
      <c r="CZ76" s="385" t="s">
        <v>304</v>
      </c>
      <c r="DC76" s="409" t="s">
        <v>115</v>
      </c>
      <c r="DD76" s="700">
        <v>0.48472222222222222</v>
      </c>
      <c r="DE76" s="701">
        <v>46048</v>
      </c>
      <c r="DF76" s="539">
        <v>47</v>
      </c>
      <c r="DG76" s="539"/>
      <c r="DH76" s="742"/>
      <c r="DI76" s="539">
        <v>10667</v>
      </c>
      <c r="DJ76" s="539" t="s">
        <v>168</v>
      </c>
      <c r="DK76" s="539" t="s">
        <v>638</v>
      </c>
      <c r="DN76" s="568" t="str">
        <f>+DN75</f>
        <v>EX13</v>
      </c>
      <c r="DO76" s="569">
        <v>0.59166666666666667</v>
      </c>
      <c r="DP76" s="570">
        <v>45652</v>
      </c>
      <c r="DQ76" s="568">
        <v>350</v>
      </c>
      <c r="DR76" s="568">
        <v>1363</v>
      </c>
      <c r="DS76" s="731">
        <f t="shared" si="51"/>
        <v>5.6000000000000001E-2</v>
      </c>
      <c r="DT76" s="568">
        <v>9163</v>
      </c>
      <c r="DU76" s="568" t="str">
        <f>+DU75</f>
        <v>RIGO</v>
      </c>
      <c r="DV76" s="568" t="str">
        <f t="shared" si="49"/>
        <v>PUERTA JARDIN</v>
      </c>
      <c r="DX76" s="442" t="s">
        <v>286</v>
      </c>
      <c r="DY76" s="426">
        <v>0.40555555555555556</v>
      </c>
      <c r="DZ76" s="408">
        <v>45920</v>
      </c>
      <c r="EA76" s="385">
        <v>295</v>
      </c>
      <c r="EB76" s="385">
        <v>1698</v>
      </c>
      <c r="EC76" s="389">
        <f t="shared" si="42"/>
        <v>18</v>
      </c>
      <c r="ED76" s="385">
        <v>10975</v>
      </c>
      <c r="EE76" s="385" t="s">
        <v>308</v>
      </c>
      <c r="EF76" s="385" t="s">
        <v>582</v>
      </c>
      <c r="EG76" s="470"/>
      <c r="EX76" s="426">
        <v>0.50624999999999998</v>
      </c>
      <c r="EY76" s="408">
        <v>45377</v>
      </c>
      <c r="EZ76" s="385">
        <v>35</v>
      </c>
      <c r="FA76" s="385">
        <v>4632.6000000000004</v>
      </c>
      <c r="FB76" s="385"/>
      <c r="FC76" s="385">
        <v>7790</v>
      </c>
      <c r="FD76" s="385" t="s">
        <v>631</v>
      </c>
      <c r="FE76" s="385" t="s">
        <v>632</v>
      </c>
      <c r="FS76" s="426">
        <v>0.62847222222222221</v>
      </c>
      <c r="FT76" s="408">
        <v>45905</v>
      </c>
      <c r="FU76" s="385">
        <v>40</v>
      </c>
      <c r="FV76" s="448">
        <v>3209</v>
      </c>
      <c r="FW76" s="385">
        <f t="shared" si="54"/>
        <v>19</v>
      </c>
      <c r="FX76" s="385">
        <v>10803</v>
      </c>
      <c r="FY76" s="385" t="s">
        <v>417</v>
      </c>
      <c r="FZ76" s="385" t="s">
        <v>173</v>
      </c>
    </row>
    <row r="77" spans="2:197" ht="16.5" thickBot="1" x14ac:dyDescent="0.3">
      <c r="B77" s="354"/>
      <c r="C77" s="354"/>
      <c r="D77" s="354"/>
      <c r="E77" s="354"/>
      <c r="F77" s="354"/>
      <c r="G77" s="354"/>
      <c r="H77" s="354"/>
      <c r="I77" s="354"/>
      <c r="BK77" s="737" t="s">
        <v>503</v>
      </c>
      <c r="BL77" s="426">
        <v>0.49652777777777779</v>
      </c>
      <c r="BM77" s="408">
        <v>45372</v>
      </c>
      <c r="BN77" s="440">
        <v>135</v>
      </c>
      <c r="BO77" s="805">
        <v>9150</v>
      </c>
      <c r="BP77" s="806">
        <f t="shared" si="53"/>
        <v>42.558139534883722</v>
      </c>
      <c r="BQ77" s="706">
        <v>5102</v>
      </c>
      <c r="BR77" s="385"/>
      <c r="BS77" s="385"/>
      <c r="BT77" s="705" t="s">
        <v>589</v>
      </c>
      <c r="BU77" s="355"/>
      <c r="BV77" s="743" t="s">
        <v>306</v>
      </c>
      <c r="BW77" s="385"/>
      <c r="BX77" s="408">
        <v>45377</v>
      </c>
      <c r="BY77" s="385">
        <v>113</v>
      </c>
      <c r="BZ77" s="385">
        <v>9807.5</v>
      </c>
      <c r="CA77" s="692">
        <f t="shared" si="46"/>
        <v>0.11953124999999432</v>
      </c>
      <c r="CB77" s="385">
        <v>7788</v>
      </c>
      <c r="CC77" s="385"/>
      <c r="CD77" s="385" t="s">
        <v>371</v>
      </c>
      <c r="CG77" s="568"/>
      <c r="CH77" s="569">
        <v>0.375</v>
      </c>
      <c r="CI77" s="570">
        <v>45586</v>
      </c>
      <c r="CJ77" s="568">
        <v>38</v>
      </c>
      <c r="CK77" s="568">
        <v>1640</v>
      </c>
      <c r="CL77" s="807">
        <f t="shared" si="52"/>
        <v>6.8421052631578952E-2</v>
      </c>
      <c r="CM77" s="568">
        <v>11099</v>
      </c>
      <c r="CN77" s="568" t="s">
        <v>640</v>
      </c>
      <c r="CO77" s="568" t="s">
        <v>429</v>
      </c>
      <c r="CS77" s="451">
        <v>0.60069444444444442</v>
      </c>
      <c r="CT77" s="421">
        <v>45889</v>
      </c>
      <c r="CU77" s="452">
        <v>100</v>
      </c>
      <c r="CV77" s="452">
        <v>7099</v>
      </c>
      <c r="CW77" s="676">
        <f t="shared" si="48"/>
        <v>13</v>
      </c>
      <c r="CX77" s="452">
        <v>10221</v>
      </c>
      <c r="CY77" s="452" t="s">
        <v>388</v>
      </c>
      <c r="CZ77" s="452" t="s">
        <v>304</v>
      </c>
      <c r="DD77" s="700">
        <v>0.83472222222222225</v>
      </c>
      <c r="DE77" s="701">
        <v>46050</v>
      </c>
      <c r="DF77" s="539">
        <v>16</v>
      </c>
      <c r="DG77" s="539"/>
      <c r="DH77" s="742"/>
      <c r="DI77" s="539">
        <v>10678</v>
      </c>
      <c r="DJ77" s="539" t="s">
        <v>168</v>
      </c>
      <c r="DK77" s="539" t="s">
        <v>638</v>
      </c>
      <c r="DN77" s="568" t="str">
        <f>+DN76</f>
        <v>EX13</v>
      </c>
      <c r="DO77" s="569">
        <v>0.33333333333333331</v>
      </c>
      <c r="DP77" s="570">
        <v>46021</v>
      </c>
      <c r="DQ77" s="568">
        <v>300</v>
      </c>
      <c r="DR77" s="568">
        <v>1378</v>
      </c>
      <c r="DS77" s="808">
        <f t="shared" si="51"/>
        <v>4.2857142857142858E-2</v>
      </c>
      <c r="DT77" s="568">
        <v>9191</v>
      </c>
      <c r="DU77" s="568" t="str">
        <f>+DU76</f>
        <v>RIGO</v>
      </c>
      <c r="DV77" s="568" t="str">
        <f>+DV76</f>
        <v>PUERTA JARDIN</v>
      </c>
      <c r="DY77" s="426">
        <v>0.45694444444444443</v>
      </c>
      <c r="DZ77" s="408">
        <v>45924</v>
      </c>
      <c r="EA77" s="385">
        <v>368</v>
      </c>
      <c r="EB77" s="385">
        <v>1721</v>
      </c>
      <c r="EC77" s="389">
        <f t="shared" si="42"/>
        <v>23</v>
      </c>
      <c r="ED77" s="385">
        <v>10990</v>
      </c>
      <c r="EE77" s="385" t="s">
        <v>308</v>
      </c>
      <c r="EF77" s="385" t="s">
        <v>582</v>
      </c>
      <c r="EG77" s="470"/>
      <c r="EX77" s="385"/>
      <c r="EY77" s="408">
        <v>45383</v>
      </c>
      <c r="EZ77" s="385">
        <v>68</v>
      </c>
      <c r="FA77" s="385">
        <v>4652.1000000000004</v>
      </c>
      <c r="FB77" s="385"/>
      <c r="FC77" s="385">
        <v>8487</v>
      </c>
      <c r="FD77" s="385" t="s">
        <v>631</v>
      </c>
      <c r="FE77" s="610" t="s">
        <v>632</v>
      </c>
      <c r="FR77" s="509" t="s">
        <v>288</v>
      </c>
      <c r="FS77" s="426">
        <v>0.70902777777777781</v>
      </c>
      <c r="FT77" s="408">
        <v>45910</v>
      </c>
      <c r="FU77" s="385">
        <v>35</v>
      </c>
      <c r="FV77" s="385">
        <v>3227</v>
      </c>
      <c r="FW77" s="385">
        <f t="shared" si="54"/>
        <v>18</v>
      </c>
      <c r="FX77" s="385">
        <v>10821</v>
      </c>
      <c r="FY77" s="385" t="s">
        <v>417</v>
      </c>
      <c r="FZ77" s="385" t="s">
        <v>173</v>
      </c>
    </row>
    <row r="78" spans="2:197" x14ac:dyDescent="0.25">
      <c r="B78" s="354"/>
      <c r="C78" s="354"/>
      <c r="D78" s="354"/>
      <c r="E78" s="354"/>
      <c r="F78" s="354"/>
      <c r="G78" s="354"/>
      <c r="H78" s="354"/>
      <c r="I78" s="354"/>
      <c r="Q78" s="348" t="s">
        <v>641</v>
      </c>
      <c r="BL78" s="426">
        <v>0.63472222222222219</v>
      </c>
      <c r="BM78" s="408">
        <v>45372</v>
      </c>
      <c r="BN78" s="385">
        <v>164</v>
      </c>
      <c r="BO78" s="377">
        <v>9157</v>
      </c>
      <c r="BP78" s="809">
        <f t="shared" si="53"/>
        <v>5.185185185185185E-2</v>
      </c>
      <c r="BQ78" s="378">
        <v>5184</v>
      </c>
      <c r="BR78" s="385" t="s">
        <v>642</v>
      </c>
      <c r="BS78" s="385" t="s">
        <v>643</v>
      </c>
      <c r="BT78" s="385"/>
      <c r="BU78" s="355"/>
      <c r="BW78" s="426">
        <v>0.32500000000000001</v>
      </c>
      <c r="BX78" s="408">
        <v>45380</v>
      </c>
      <c r="BY78" s="385">
        <v>87</v>
      </c>
      <c r="BZ78" s="385">
        <v>9818.4</v>
      </c>
      <c r="CA78" s="648">
        <f t="shared" si="46"/>
        <v>9.6460176991147228E-2</v>
      </c>
      <c r="CB78" s="385">
        <v>8475</v>
      </c>
      <c r="CC78" s="385"/>
      <c r="CD78" s="452" t="s">
        <v>323</v>
      </c>
      <c r="CG78" s="568"/>
      <c r="CH78" s="568">
        <v>9.3699999999999992</v>
      </c>
      <c r="CI78" s="570">
        <v>45588</v>
      </c>
      <c r="CJ78" s="568">
        <v>142</v>
      </c>
      <c r="CK78" s="568">
        <v>1658</v>
      </c>
      <c r="CL78" s="807">
        <f t="shared" si="52"/>
        <v>0.47368421052631576</v>
      </c>
      <c r="CM78" s="568">
        <v>7559</v>
      </c>
      <c r="CN78" s="568" t="str">
        <f>+CN77</f>
        <v>Irving</v>
      </c>
      <c r="CO78" s="568" t="str">
        <f>+CO77</f>
        <v>Pilares</v>
      </c>
      <c r="CR78" s="409" t="s">
        <v>623</v>
      </c>
      <c r="CS78" s="426">
        <v>0.46944444444444444</v>
      </c>
      <c r="CT78" s="408">
        <v>45892</v>
      </c>
      <c r="CU78" s="385">
        <v>89</v>
      </c>
      <c r="CV78" s="471">
        <v>7099</v>
      </c>
      <c r="CW78" s="393">
        <f t="shared" si="48"/>
        <v>0</v>
      </c>
      <c r="CX78" s="385">
        <v>10277</v>
      </c>
      <c r="CY78" s="385" t="s">
        <v>388</v>
      </c>
      <c r="CZ78" s="385" t="s">
        <v>304</v>
      </c>
      <c r="DC78" s="409" t="s">
        <v>115</v>
      </c>
      <c r="DD78" s="700">
        <v>0.62847222222222221</v>
      </c>
      <c r="DE78" s="701">
        <v>46056</v>
      </c>
      <c r="DF78" s="539">
        <v>32</v>
      </c>
      <c r="DG78" s="539"/>
      <c r="DH78" s="742"/>
      <c r="DI78" s="539">
        <v>10411</v>
      </c>
      <c r="DJ78" s="539" t="s">
        <v>168</v>
      </c>
      <c r="DK78" s="539" t="s">
        <v>638</v>
      </c>
      <c r="DN78" s="442" t="s">
        <v>285</v>
      </c>
      <c r="DO78" s="451">
        <v>0.66388888888888886</v>
      </c>
      <c r="DP78" s="421">
        <v>45783</v>
      </c>
      <c r="DQ78" s="452">
        <v>305</v>
      </c>
      <c r="DR78" s="452">
        <v>2078</v>
      </c>
      <c r="DS78" s="456">
        <f>(DR78-DR77)/DQ77</f>
        <v>2.3333333333333335</v>
      </c>
      <c r="DT78" s="452">
        <v>9679</v>
      </c>
      <c r="DU78" s="452" t="s">
        <v>61</v>
      </c>
      <c r="DV78" s="452" t="s">
        <v>644</v>
      </c>
      <c r="DY78" s="426">
        <v>0.59097222222222223</v>
      </c>
      <c r="DZ78" s="408">
        <v>45926</v>
      </c>
      <c r="EA78" s="385">
        <v>318</v>
      </c>
      <c r="EB78" s="385">
        <v>1742</v>
      </c>
      <c r="EC78" s="389">
        <f t="shared" si="42"/>
        <v>21</v>
      </c>
      <c r="ED78" s="385">
        <v>10902</v>
      </c>
      <c r="EE78" s="385" t="s">
        <v>308</v>
      </c>
      <c r="EF78" s="385" t="s">
        <v>582</v>
      </c>
      <c r="EG78" s="470"/>
      <c r="EX78" s="426">
        <v>0.61041666666666672</v>
      </c>
      <c r="EY78" s="408">
        <v>45386</v>
      </c>
      <c r="EZ78" s="385">
        <v>50</v>
      </c>
      <c r="FA78" s="385">
        <v>4679.8999999999996</v>
      </c>
      <c r="FB78" s="385"/>
      <c r="FC78" s="385">
        <v>5654</v>
      </c>
      <c r="FD78" s="385" t="s">
        <v>631</v>
      </c>
      <c r="FE78" s="610" t="s">
        <v>632</v>
      </c>
      <c r="FF78" s="553" t="s">
        <v>140</v>
      </c>
      <c r="FR78" s="509" t="s">
        <v>288</v>
      </c>
      <c r="FS78" s="426">
        <v>0.59722222222222221</v>
      </c>
      <c r="FT78" s="408">
        <v>45917</v>
      </c>
      <c r="FU78" s="385">
        <v>57</v>
      </c>
      <c r="FV78" s="385">
        <v>3252</v>
      </c>
      <c r="FW78" s="385">
        <f t="shared" si="54"/>
        <v>25</v>
      </c>
      <c r="FX78" s="385">
        <v>10895</v>
      </c>
      <c r="FY78" s="385" t="s">
        <v>417</v>
      </c>
      <c r="FZ78" s="385" t="s">
        <v>173</v>
      </c>
    </row>
    <row r="79" spans="2:197" ht="16.5" thickBot="1" x14ac:dyDescent="0.3">
      <c r="B79" s="354"/>
      <c r="C79" s="354"/>
      <c r="D79" s="354"/>
      <c r="E79" s="354"/>
      <c r="F79" s="354"/>
      <c r="G79" s="354"/>
      <c r="H79" s="354"/>
      <c r="I79" s="354"/>
      <c r="BL79" s="426"/>
      <c r="BM79" s="408">
        <v>45385</v>
      </c>
      <c r="BN79" s="385">
        <v>40</v>
      </c>
      <c r="BO79" s="385"/>
      <c r="BP79" s="402">
        <f t="shared" si="53"/>
        <v>-55.835365853658537</v>
      </c>
      <c r="BQ79" s="440">
        <v>8313</v>
      </c>
      <c r="BR79" s="385" t="s">
        <v>642</v>
      </c>
      <c r="BS79" s="385" t="s">
        <v>643</v>
      </c>
      <c r="BT79" s="385"/>
      <c r="BU79" s="355"/>
      <c r="BW79" s="451">
        <v>0.6958333333333333</v>
      </c>
      <c r="BX79" s="421">
        <v>45385</v>
      </c>
      <c r="BY79" s="452">
        <v>67</v>
      </c>
      <c r="BZ79" s="452">
        <v>9933.1</v>
      </c>
      <c r="CA79" s="692">
        <f t="shared" si="46"/>
        <v>1.3183908045977095</v>
      </c>
      <c r="CB79" s="452">
        <v>8311</v>
      </c>
      <c r="CC79" s="452"/>
      <c r="CD79" s="452" t="s">
        <v>645</v>
      </c>
      <c r="CG79" s="568"/>
      <c r="CH79" s="569">
        <v>0.52152777777777781</v>
      </c>
      <c r="CI79" s="570">
        <v>45594</v>
      </c>
      <c r="CJ79" s="568">
        <v>176</v>
      </c>
      <c r="CK79" s="568">
        <v>0</v>
      </c>
      <c r="CL79" s="807">
        <f t="shared" si="52"/>
        <v>-11.67605633802817</v>
      </c>
      <c r="CM79" s="568">
        <v>7023</v>
      </c>
      <c r="CN79" s="568">
        <v>0</v>
      </c>
      <c r="CO79" s="568" t="s">
        <v>646</v>
      </c>
      <c r="CS79" s="426">
        <v>0.51597222222222228</v>
      </c>
      <c r="CT79" s="408">
        <v>45894</v>
      </c>
      <c r="CU79" s="385">
        <v>101</v>
      </c>
      <c r="CV79" s="385">
        <v>7124</v>
      </c>
      <c r="CW79" s="393">
        <f t="shared" si="48"/>
        <v>25</v>
      </c>
      <c r="CX79" s="385">
        <v>10280</v>
      </c>
      <c r="CY79" s="385" t="s">
        <v>388</v>
      </c>
      <c r="CZ79" s="385" t="s">
        <v>304</v>
      </c>
      <c r="DC79" s="409" t="s">
        <v>115</v>
      </c>
      <c r="DD79" s="700">
        <v>0.5</v>
      </c>
      <c r="DE79" s="701">
        <v>46060</v>
      </c>
      <c r="DF79" s="539">
        <v>37</v>
      </c>
      <c r="DG79" s="539"/>
      <c r="DH79" s="742"/>
      <c r="DI79" s="539">
        <v>10523</v>
      </c>
      <c r="DJ79" s="539" t="s">
        <v>573</v>
      </c>
      <c r="DK79" s="539" t="s">
        <v>638</v>
      </c>
      <c r="DN79" s="442" t="s">
        <v>285</v>
      </c>
      <c r="DO79" s="451">
        <v>0.45833333333333331</v>
      </c>
      <c r="DP79" s="421">
        <v>45787</v>
      </c>
      <c r="DQ79" s="452">
        <v>176</v>
      </c>
      <c r="DR79" s="452">
        <v>2107</v>
      </c>
      <c r="DS79" s="511">
        <f>DR79-DR78</f>
        <v>29</v>
      </c>
      <c r="DT79" s="452">
        <v>9679</v>
      </c>
      <c r="DU79" s="452" t="s">
        <v>61</v>
      </c>
      <c r="DV79" s="452" t="s">
        <v>644</v>
      </c>
      <c r="DX79" s="442" t="s">
        <v>286</v>
      </c>
      <c r="DY79" s="426">
        <v>0.67638888888888893</v>
      </c>
      <c r="DZ79" s="408">
        <v>45930</v>
      </c>
      <c r="EA79" s="385">
        <v>329</v>
      </c>
      <c r="EB79" s="385">
        <v>1764</v>
      </c>
      <c r="EC79" s="389">
        <f t="shared" si="42"/>
        <v>22</v>
      </c>
      <c r="ED79" s="385">
        <v>10920</v>
      </c>
      <c r="EE79" s="385" t="s">
        <v>308</v>
      </c>
      <c r="EF79" s="385" t="s">
        <v>582</v>
      </c>
      <c r="EG79" s="470"/>
      <c r="EX79" s="385"/>
      <c r="EY79" s="408">
        <v>45387</v>
      </c>
      <c r="EZ79" s="385">
        <v>90</v>
      </c>
      <c r="FA79" s="385">
        <v>4693.2</v>
      </c>
      <c r="FB79" s="385"/>
      <c r="FC79" s="385">
        <v>5655</v>
      </c>
      <c r="FD79" s="385" t="s">
        <v>631</v>
      </c>
      <c r="FE79" s="610" t="s">
        <v>632</v>
      </c>
      <c r="FS79" s="426">
        <v>0.60486111111111107</v>
      </c>
      <c r="FT79" s="408">
        <v>45919</v>
      </c>
      <c r="FU79" s="385">
        <v>23</v>
      </c>
      <c r="FV79" s="385">
        <v>3263</v>
      </c>
      <c r="FW79" s="385">
        <f t="shared" si="54"/>
        <v>11</v>
      </c>
      <c r="FX79" s="385">
        <v>10966</v>
      </c>
      <c r="FY79" s="385" t="s">
        <v>417</v>
      </c>
      <c r="FZ79" s="385" t="s">
        <v>173</v>
      </c>
    </row>
    <row r="80" spans="2:197" ht="16.5" thickBot="1" x14ac:dyDescent="0.3">
      <c r="B80" s="354"/>
      <c r="C80" s="354"/>
      <c r="D80" s="354"/>
      <c r="E80" s="354"/>
      <c r="F80" s="354"/>
      <c r="G80" s="354"/>
      <c r="H80" s="354"/>
      <c r="I80" s="354"/>
      <c r="BL80" s="810">
        <v>0.42708333333333331</v>
      </c>
      <c r="BM80" s="811">
        <v>45386</v>
      </c>
      <c r="BN80" s="812">
        <v>40</v>
      </c>
      <c r="BO80" s="812">
        <v>9206</v>
      </c>
      <c r="BP80" s="813">
        <f t="shared" si="53"/>
        <v>230.15</v>
      </c>
      <c r="BQ80" s="567">
        <v>5651</v>
      </c>
      <c r="BR80" s="385" t="s">
        <v>642</v>
      </c>
      <c r="BS80" s="385" t="s">
        <v>643</v>
      </c>
      <c r="BT80" s="812" t="s">
        <v>140</v>
      </c>
      <c r="BU80" s="355"/>
      <c r="BV80" s="743" t="s">
        <v>306</v>
      </c>
      <c r="BW80" s="426">
        <v>0.47152777777777777</v>
      </c>
      <c r="BX80" s="408">
        <v>45390</v>
      </c>
      <c r="BY80" s="385">
        <v>45</v>
      </c>
      <c r="BZ80" s="385">
        <v>9851.2999999999993</v>
      </c>
      <c r="CA80" s="648">
        <f t="shared" si="46"/>
        <v>-1.220895522388076</v>
      </c>
      <c r="CB80" s="385">
        <v>8342</v>
      </c>
      <c r="CC80" s="385"/>
      <c r="CD80" s="385"/>
      <c r="CG80" s="568"/>
      <c r="CH80" s="569">
        <v>0.46111111111111108</v>
      </c>
      <c r="CI80" s="570">
        <v>45597</v>
      </c>
      <c r="CJ80" s="568">
        <v>157</v>
      </c>
      <c r="CK80" s="568">
        <v>1724</v>
      </c>
      <c r="CL80" s="807">
        <f t="shared" si="52"/>
        <v>9.795454545454545</v>
      </c>
      <c r="CM80" s="568">
        <v>7260</v>
      </c>
      <c r="CN80" s="568" t="str">
        <f>+CN78</f>
        <v>Irving</v>
      </c>
      <c r="CO80" s="568" t="str">
        <f t="shared" ref="CO80:CO85" si="55">+CO79</f>
        <v>DEL VALLE</v>
      </c>
      <c r="CS80" s="451">
        <v>0.59027777777777779</v>
      </c>
      <c r="CT80" s="421">
        <v>45897</v>
      </c>
      <c r="CU80" s="452">
        <v>160</v>
      </c>
      <c r="CV80" s="452">
        <v>7146</v>
      </c>
      <c r="CW80" s="676">
        <f t="shared" si="48"/>
        <v>22</v>
      </c>
      <c r="CX80" s="452">
        <v>10299</v>
      </c>
      <c r="CY80" s="452" t="s">
        <v>388</v>
      </c>
      <c r="CZ80" s="452" t="s">
        <v>304</v>
      </c>
      <c r="DC80" s="409" t="s">
        <v>115</v>
      </c>
      <c r="DD80" s="700">
        <v>0.57013888888888886</v>
      </c>
      <c r="DE80" s="701">
        <v>46065</v>
      </c>
      <c r="DF80" s="539">
        <v>29</v>
      </c>
      <c r="DG80" s="539"/>
      <c r="DH80" s="742"/>
      <c r="DI80" s="539">
        <v>10451</v>
      </c>
      <c r="DJ80" s="539"/>
      <c r="DK80" s="539" t="s">
        <v>638</v>
      </c>
      <c r="DO80" s="451">
        <v>0.375</v>
      </c>
      <c r="DP80" s="421">
        <v>45792</v>
      </c>
      <c r="DQ80" s="452">
        <v>312</v>
      </c>
      <c r="DR80" s="452">
        <v>2136</v>
      </c>
      <c r="DS80" s="511">
        <f t="shared" ref="DS80:DS130" si="56">DR80-DR79</f>
        <v>29</v>
      </c>
      <c r="DT80" s="452">
        <v>9332</v>
      </c>
      <c r="DU80" s="452" t="s">
        <v>61</v>
      </c>
      <c r="DV80" s="452" t="s">
        <v>644</v>
      </c>
      <c r="DY80" s="426">
        <v>0.57152777777777775</v>
      </c>
      <c r="DZ80" s="408">
        <v>45933</v>
      </c>
      <c r="EA80" s="385">
        <v>288</v>
      </c>
      <c r="EB80" s="471">
        <v>1764</v>
      </c>
      <c r="EC80" s="389">
        <f t="shared" si="42"/>
        <v>0</v>
      </c>
      <c r="ED80" s="385">
        <v>10942</v>
      </c>
      <c r="EE80" s="385" t="s">
        <v>308</v>
      </c>
      <c r="EF80" s="385" t="s">
        <v>582</v>
      </c>
      <c r="EG80" s="470"/>
      <c r="EW80" s="419" t="s">
        <v>63</v>
      </c>
      <c r="EX80" s="426">
        <v>0.70833333333333337</v>
      </c>
      <c r="EY80" s="408">
        <v>45418</v>
      </c>
      <c r="EZ80" s="385">
        <v>92</v>
      </c>
      <c r="FA80" s="385"/>
      <c r="FB80" s="385"/>
      <c r="FC80" s="385">
        <v>3502</v>
      </c>
      <c r="FD80" s="385" t="s">
        <v>631</v>
      </c>
      <c r="FE80" s="385" t="s">
        <v>647</v>
      </c>
      <c r="FR80" s="509" t="s">
        <v>288</v>
      </c>
      <c r="FS80" s="426">
        <v>0.76875000000000004</v>
      </c>
      <c r="FT80" s="408">
        <v>45923</v>
      </c>
      <c r="FU80" s="385">
        <v>23</v>
      </c>
      <c r="FV80" s="385"/>
      <c r="FW80" s="385">
        <f t="shared" si="54"/>
        <v>-3263</v>
      </c>
      <c r="FX80" s="385">
        <v>10986</v>
      </c>
      <c r="FY80" s="385" t="s">
        <v>417</v>
      </c>
      <c r="FZ80" s="385" t="s">
        <v>173</v>
      </c>
    </row>
    <row r="81" spans="2:281" ht="16.5" thickBot="1" x14ac:dyDescent="0.3">
      <c r="B81" s="354"/>
      <c r="C81" s="354"/>
      <c r="D81" s="354"/>
      <c r="E81" s="354"/>
      <c r="F81" s="354"/>
      <c r="G81" s="354"/>
      <c r="H81" s="354"/>
      <c r="I81" s="354"/>
      <c r="BK81" s="737" t="s">
        <v>503</v>
      </c>
      <c r="BL81" s="814">
        <v>0.44583333333333336</v>
      </c>
      <c r="BM81" s="815">
        <v>45390</v>
      </c>
      <c r="BN81" s="816">
        <v>79</v>
      </c>
      <c r="BO81" s="816"/>
      <c r="BP81" s="813">
        <f t="shared" si="53"/>
        <v>-230.15</v>
      </c>
      <c r="BQ81" s="817">
        <v>8340</v>
      </c>
      <c r="BR81" s="385" t="s">
        <v>642</v>
      </c>
      <c r="BS81" s="385" t="s">
        <v>643</v>
      </c>
      <c r="BT81" s="385"/>
      <c r="BU81" s="355"/>
      <c r="BV81" s="453"/>
      <c r="BW81" s="452"/>
      <c r="BX81" s="421">
        <v>45391</v>
      </c>
      <c r="BY81" s="452">
        <v>39</v>
      </c>
      <c r="BZ81" s="452">
        <v>9856.9</v>
      </c>
      <c r="CA81" s="402">
        <f t="shared" si="46"/>
        <v>0.12444444444445253</v>
      </c>
      <c r="CB81" s="452"/>
      <c r="CC81" s="452"/>
      <c r="CD81" s="452"/>
      <c r="CG81" s="818"/>
      <c r="CH81" s="569">
        <v>0.56458333333333333</v>
      </c>
      <c r="CI81" s="570">
        <v>45598</v>
      </c>
      <c r="CJ81" s="568">
        <v>202</v>
      </c>
      <c r="CK81" s="568">
        <v>1730</v>
      </c>
      <c r="CL81" s="807">
        <f t="shared" si="52"/>
        <v>3.8216560509554139E-2</v>
      </c>
      <c r="CM81" s="568">
        <v>7766</v>
      </c>
      <c r="CN81" s="568" t="str">
        <f>+CN80</f>
        <v>Irving</v>
      </c>
      <c r="CO81" s="568" t="str">
        <f t="shared" si="55"/>
        <v>DEL VALLE</v>
      </c>
      <c r="CR81" s="409" t="s">
        <v>623</v>
      </c>
      <c r="CS81" s="426">
        <v>0.49513888888888891</v>
      </c>
      <c r="CT81" s="408">
        <v>45901</v>
      </c>
      <c r="CU81" s="385">
        <v>80</v>
      </c>
      <c r="CV81" s="385">
        <v>7165</v>
      </c>
      <c r="CW81" s="393">
        <f t="shared" si="48"/>
        <v>19</v>
      </c>
      <c r="CX81" s="385">
        <v>11419</v>
      </c>
      <c r="CY81" s="385" t="s">
        <v>388</v>
      </c>
      <c r="CZ81" s="385" t="s">
        <v>304</v>
      </c>
      <c r="DC81" s="409" t="s">
        <v>115</v>
      </c>
      <c r="DD81" s="700">
        <v>0.86527777777777781</v>
      </c>
      <c r="DE81" s="701">
        <v>46072</v>
      </c>
      <c r="DF81" s="539">
        <v>30</v>
      </c>
      <c r="DG81" s="539"/>
      <c r="DH81" s="742"/>
      <c r="DI81" s="539">
        <v>9721</v>
      </c>
      <c r="DJ81" s="539"/>
      <c r="DK81" s="539" t="s">
        <v>638</v>
      </c>
      <c r="DN81" s="442" t="s">
        <v>285</v>
      </c>
      <c r="DO81" s="426">
        <v>0.62013888888888891</v>
      </c>
      <c r="DP81" s="408">
        <v>45796</v>
      </c>
      <c r="DQ81" s="385">
        <v>224</v>
      </c>
      <c r="DR81" s="385">
        <v>2159</v>
      </c>
      <c r="DS81" s="511">
        <f t="shared" si="56"/>
        <v>23</v>
      </c>
      <c r="DT81" s="385">
        <v>9828</v>
      </c>
      <c r="DU81" s="385" t="s">
        <v>61</v>
      </c>
      <c r="DV81" s="385" t="s">
        <v>644</v>
      </c>
      <c r="DX81" s="442" t="s">
        <v>286</v>
      </c>
      <c r="DY81" s="426">
        <v>0.41736111111111113</v>
      </c>
      <c r="DZ81" s="408">
        <v>45939</v>
      </c>
      <c r="EA81" s="385">
        <v>328</v>
      </c>
      <c r="EB81" s="385">
        <v>1801</v>
      </c>
      <c r="EC81" s="389">
        <f t="shared" si="42"/>
        <v>37</v>
      </c>
      <c r="ED81" s="385">
        <v>10861</v>
      </c>
      <c r="EE81" s="385" t="s">
        <v>308</v>
      </c>
      <c r="EF81" s="385" t="s">
        <v>582</v>
      </c>
      <c r="EG81" s="597" t="s">
        <v>325</v>
      </c>
      <c r="EW81" s="419" t="s">
        <v>63</v>
      </c>
      <c r="EX81" s="426">
        <v>0.37638888888888888</v>
      </c>
      <c r="EY81" s="408">
        <v>45439</v>
      </c>
      <c r="EZ81" s="385">
        <v>21</v>
      </c>
      <c r="FA81" s="385">
        <v>4726.5</v>
      </c>
      <c r="FB81" s="385">
        <v>0</v>
      </c>
      <c r="FC81" s="385">
        <v>3631</v>
      </c>
      <c r="FD81" s="385" t="s">
        <v>631</v>
      </c>
      <c r="FE81" s="469" t="s">
        <v>648</v>
      </c>
      <c r="FS81" s="426">
        <v>0.47361111111111109</v>
      </c>
      <c r="FT81" s="408">
        <v>45926</v>
      </c>
      <c r="FU81" s="385">
        <v>34</v>
      </c>
      <c r="FV81" s="385">
        <v>3292</v>
      </c>
      <c r="FW81" s="385">
        <f t="shared" si="54"/>
        <v>3292</v>
      </c>
      <c r="FX81" s="385">
        <v>10902</v>
      </c>
      <c r="FY81" s="385" t="s">
        <v>417</v>
      </c>
      <c r="FZ81" s="385" t="s">
        <v>173</v>
      </c>
    </row>
    <row r="82" spans="2:281" ht="16.5" thickBot="1" x14ac:dyDescent="0.3">
      <c r="B82" s="354"/>
      <c r="C82" s="354"/>
      <c r="D82" s="354"/>
      <c r="E82" s="354"/>
      <c r="F82" s="354"/>
      <c r="G82" s="354"/>
      <c r="H82" s="354"/>
      <c r="I82" s="354"/>
      <c r="BL82" s="451">
        <v>0.45694444444444443</v>
      </c>
      <c r="BM82" s="421">
        <v>45391</v>
      </c>
      <c r="BN82" s="452">
        <v>79</v>
      </c>
      <c r="BO82" s="452">
        <v>9219</v>
      </c>
      <c r="BP82" s="402">
        <f t="shared" si="53"/>
        <v>116.69620253164557</v>
      </c>
      <c r="BQ82" s="476"/>
      <c r="BR82" s="385" t="s">
        <v>642</v>
      </c>
      <c r="BS82" s="385" t="s">
        <v>643</v>
      </c>
      <c r="BT82" s="385"/>
      <c r="BU82" s="355"/>
      <c r="BV82" s="743" t="s">
        <v>306</v>
      </c>
      <c r="BW82" s="426">
        <v>0.39791666666666664</v>
      </c>
      <c r="BX82" s="408">
        <v>45398</v>
      </c>
      <c r="BY82" s="385">
        <v>108</v>
      </c>
      <c r="BZ82" s="385">
        <v>9881.2000000000007</v>
      </c>
      <c r="CA82" s="407">
        <f t="shared" si="46"/>
        <v>0.62307692307695106</v>
      </c>
      <c r="CB82" s="385">
        <v>5374</v>
      </c>
      <c r="CC82" s="385"/>
      <c r="CD82" s="385" t="s">
        <v>649</v>
      </c>
      <c r="CG82" s="818" t="s">
        <v>307</v>
      </c>
      <c r="CH82" s="569">
        <v>0.35416666666666669</v>
      </c>
      <c r="CI82" s="570">
        <v>45600</v>
      </c>
      <c r="CJ82" s="568">
        <f>214/2</f>
        <v>107</v>
      </c>
      <c r="CK82" s="568">
        <v>0</v>
      </c>
      <c r="CL82" s="807">
        <f t="shared" si="52"/>
        <v>-8.564356435643564</v>
      </c>
      <c r="CM82" s="568">
        <v>6887</v>
      </c>
      <c r="CN82" s="568" t="str">
        <f>+CN81</f>
        <v>Irving</v>
      </c>
      <c r="CO82" s="568" t="str">
        <f t="shared" si="55"/>
        <v>DEL VALLE</v>
      </c>
      <c r="CS82" s="426">
        <v>0.69236111111111109</v>
      </c>
      <c r="CT82" s="408">
        <v>45903</v>
      </c>
      <c r="CU82" s="385">
        <v>147</v>
      </c>
      <c r="CV82" s="385">
        <v>7185</v>
      </c>
      <c r="CW82" s="393">
        <f t="shared" si="48"/>
        <v>20</v>
      </c>
      <c r="CX82" s="385">
        <v>11438</v>
      </c>
      <c r="CY82" s="385" t="s">
        <v>388</v>
      </c>
      <c r="CZ82" s="385" t="s">
        <v>304</v>
      </c>
      <c r="DC82" s="409" t="s">
        <v>115</v>
      </c>
      <c r="DD82" s="700">
        <v>0.32222222222222224</v>
      </c>
      <c r="DE82" s="701">
        <v>46083</v>
      </c>
      <c r="DF82" s="539">
        <v>7</v>
      </c>
      <c r="DG82" s="539"/>
      <c r="DH82" s="742"/>
      <c r="DI82" s="539">
        <v>13350</v>
      </c>
      <c r="DJ82" s="539"/>
      <c r="DK82" s="539" t="s">
        <v>638</v>
      </c>
      <c r="DN82" s="442" t="s">
        <v>285</v>
      </c>
      <c r="DO82" s="426">
        <v>0.58333333333333337</v>
      </c>
      <c r="DP82" s="408">
        <v>45803</v>
      </c>
      <c r="DQ82" s="385">
        <v>178</v>
      </c>
      <c r="DR82" s="385">
        <v>2192</v>
      </c>
      <c r="DS82" s="511">
        <f t="shared" si="56"/>
        <v>33</v>
      </c>
      <c r="DT82" s="385">
        <v>9373</v>
      </c>
      <c r="DU82" s="385" t="s">
        <v>61</v>
      </c>
      <c r="DV82" s="385" t="s">
        <v>644</v>
      </c>
      <c r="DX82" s="442" t="s">
        <v>286</v>
      </c>
      <c r="DY82" s="426">
        <v>0.375</v>
      </c>
      <c r="DZ82" s="408">
        <v>45959</v>
      </c>
      <c r="EA82" s="385">
        <v>275</v>
      </c>
      <c r="EB82" s="385">
        <v>1838</v>
      </c>
      <c r="EC82" s="389">
        <f t="shared" si="42"/>
        <v>37</v>
      </c>
      <c r="ED82" s="385">
        <v>9464</v>
      </c>
      <c r="EE82" s="385" t="s">
        <v>308</v>
      </c>
      <c r="EF82" s="385" t="s">
        <v>582</v>
      </c>
      <c r="EX82" s="426">
        <v>0.63888888888888884</v>
      </c>
      <c r="EY82" s="408">
        <v>45440</v>
      </c>
      <c r="EZ82" s="385">
        <v>21</v>
      </c>
      <c r="FA82" s="385">
        <v>0</v>
      </c>
      <c r="FB82" s="385">
        <v>0</v>
      </c>
      <c r="FC82" s="385">
        <v>5663</v>
      </c>
      <c r="FD82" s="385" t="s">
        <v>631</v>
      </c>
      <c r="FE82" s="591" t="s">
        <v>323</v>
      </c>
      <c r="FR82" s="509" t="s">
        <v>288</v>
      </c>
      <c r="FS82" s="426">
        <v>0.4</v>
      </c>
      <c r="FT82" s="408">
        <v>45934</v>
      </c>
      <c r="FU82" s="385">
        <v>68</v>
      </c>
      <c r="FV82" s="385">
        <v>3326</v>
      </c>
      <c r="FW82" s="385">
        <f t="shared" si="54"/>
        <v>34</v>
      </c>
      <c r="FX82" s="385">
        <v>10851</v>
      </c>
      <c r="FY82" s="385" t="s">
        <v>650</v>
      </c>
      <c r="FZ82" s="385" t="s">
        <v>351</v>
      </c>
    </row>
    <row r="83" spans="2:281" ht="16.5" thickBot="1" x14ac:dyDescent="0.3">
      <c r="B83" s="354"/>
      <c r="C83" s="354"/>
      <c r="D83" s="354"/>
      <c r="E83" s="354"/>
      <c r="F83" s="354"/>
      <c r="G83" s="354"/>
      <c r="H83" s="354"/>
      <c r="I83" s="354"/>
      <c r="BK83" s="737" t="s">
        <v>503</v>
      </c>
      <c r="BL83" s="426">
        <v>0.62569444444444444</v>
      </c>
      <c r="BM83" s="408">
        <v>45397</v>
      </c>
      <c r="BN83" s="385">
        <v>85</v>
      </c>
      <c r="BO83" s="385"/>
      <c r="BP83" s="407">
        <f t="shared" si="53"/>
        <v>-116.69620253164557</v>
      </c>
      <c r="BQ83" s="440">
        <v>5368</v>
      </c>
      <c r="BR83" s="385" t="s">
        <v>642</v>
      </c>
      <c r="BS83" s="385" t="s">
        <v>643</v>
      </c>
      <c r="BT83" s="385"/>
      <c r="BU83" s="355"/>
      <c r="BV83" s="743" t="s">
        <v>306</v>
      </c>
      <c r="BW83" s="426">
        <v>0.4201388888888889</v>
      </c>
      <c r="BX83" s="408">
        <v>45404</v>
      </c>
      <c r="BY83" s="385">
        <v>30</v>
      </c>
      <c r="BZ83" s="385">
        <v>9882.2000000000007</v>
      </c>
      <c r="CA83" s="407">
        <f t="shared" si="46"/>
        <v>9.2592592592592587E-3</v>
      </c>
      <c r="CB83" s="385">
        <v>5424</v>
      </c>
      <c r="CC83" s="385"/>
      <c r="CD83" s="385"/>
      <c r="CG83" s="818"/>
      <c r="CH83" s="569">
        <v>0.52569444444444446</v>
      </c>
      <c r="CI83" s="570">
        <v>45604</v>
      </c>
      <c r="CJ83" s="568">
        <v>136</v>
      </c>
      <c r="CK83" s="568">
        <v>1752</v>
      </c>
      <c r="CL83" s="807">
        <f t="shared" si="52"/>
        <v>16.373831775700936</v>
      </c>
      <c r="CM83" s="568">
        <v>7283</v>
      </c>
      <c r="CN83" s="568" t="str">
        <f>+CN82</f>
        <v>Irving</v>
      </c>
      <c r="CO83" s="568" t="str">
        <f t="shared" si="55"/>
        <v>DEL VALLE</v>
      </c>
      <c r="CR83" s="409" t="s">
        <v>623</v>
      </c>
      <c r="CS83" s="451">
        <v>0.5625</v>
      </c>
      <c r="CT83" s="421">
        <v>45908</v>
      </c>
      <c r="CU83" s="452">
        <v>139</v>
      </c>
      <c r="CV83" s="452">
        <v>7206</v>
      </c>
      <c r="CW83" s="393">
        <f t="shared" si="48"/>
        <v>21</v>
      </c>
      <c r="CX83" s="452">
        <v>10816</v>
      </c>
      <c r="CY83" s="452" t="s">
        <v>388</v>
      </c>
      <c r="CZ83" s="452" t="s">
        <v>304</v>
      </c>
      <c r="DA83" s="597" t="s">
        <v>590</v>
      </c>
      <c r="DD83" s="700">
        <v>0.75624999999999998</v>
      </c>
      <c r="DE83" s="701">
        <v>46086</v>
      </c>
      <c r="DF83" s="539">
        <v>43</v>
      </c>
      <c r="DG83" s="539"/>
      <c r="DH83" s="742"/>
      <c r="DI83" s="539">
        <v>11330</v>
      </c>
      <c r="DJ83" s="539" t="s">
        <v>80</v>
      </c>
      <c r="DK83" s="539" t="s">
        <v>144</v>
      </c>
      <c r="DO83" s="426">
        <v>0.58333333333333337</v>
      </c>
      <c r="DP83" s="408">
        <v>45806</v>
      </c>
      <c r="DQ83" s="385">
        <v>236</v>
      </c>
      <c r="DR83" s="385">
        <v>2214</v>
      </c>
      <c r="DS83" s="511">
        <f t="shared" si="56"/>
        <v>22</v>
      </c>
      <c r="DT83" s="385">
        <v>9874</v>
      </c>
      <c r="DU83" s="385" t="s">
        <v>61</v>
      </c>
      <c r="DV83" s="385" t="s">
        <v>644</v>
      </c>
      <c r="DY83" s="426">
        <v>0.68125000000000002</v>
      </c>
      <c r="DZ83" s="408">
        <v>45961</v>
      </c>
      <c r="EA83" s="385">
        <v>327</v>
      </c>
      <c r="EB83" s="385">
        <v>1863</v>
      </c>
      <c r="EC83" s="389">
        <f t="shared" si="42"/>
        <v>25</v>
      </c>
      <c r="ED83" s="385">
        <v>9479</v>
      </c>
      <c r="EE83" s="385" t="s">
        <v>308</v>
      </c>
      <c r="EF83" s="385" t="s">
        <v>582</v>
      </c>
      <c r="EX83" s="451">
        <v>0.68541666666666667</v>
      </c>
      <c r="EY83" s="421">
        <v>45443</v>
      </c>
      <c r="EZ83" s="452">
        <v>130</v>
      </c>
      <c r="FA83" s="452">
        <v>4762.7</v>
      </c>
      <c r="FB83" s="407">
        <f t="shared" ref="FB83:FB114" si="57">(FA83-FA82)/EZ82</f>
        <v>226.79523809523809</v>
      </c>
      <c r="FC83" s="452">
        <v>3704</v>
      </c>
      <c r="FD83" s="452" t="s">
        <v>631</v>
      </c>
      <c r="FE83" s="795" t="s">
        <v>423</v>
      </c>
      <c r="FS83" s="426">
        <v>0.59305555555555556</v>
      </c>
      <c r="FT83" s="408">
        <v>45937</v>
      </c>
      <c r="FU83" s="385">
        <v>39</v>
      </c>
      <c r="FV83" s="385">
        <v>3338</v>
      </c>
      <c r="FW83" s="385">
        <f t="shared" si="54"/>
        <v>12</v>
      </c>
      <c r="FX83" s="385">
        <v>10857</v>
      </c>
      <c r="FY83" s="385" t="s">
        <v>651</v>
      </c>
      <c r="FZ83" s="385" t="s">
        <v>351</v>
      </c>
    </row>
    <row r="84" spans="2:281" ht="16.5" thickBot="1" x14ac:dyDescent="0.3">
      <c r="B84" s="354"/>
      <c r="C84" s="354"/>
      <c r="D84" s="354"/>
      <c r="E84" s="354"/>
      <c r="F84" s="354"/>
      <c r="G84" s="354"/>
      <c r="H84" s="354"/>
      <c r="I84" s="354"/>
      <c r="K84" s="355"/>
      <c r="L84" s="355"/>
      <c r="M84" s="355"/>
      <c r="N84" s="355"/>
      <c r="O84" s="355"/>
      <c r="BL84" s="451">
        <v>0.43819444444444444</v>
      </c>
      <c r="BM84" s="421">
        <v>45398</v>
      </c>
      <c r="BN84" s="452">
        <v>115</v>
      </c>
      <c r="BO84" s="452">
        <v>9252</v>
      </c>
      <c r="BP84" s="402">
        <f t="shared" si="53"/>
        <v>108.84705882352941</v>
      </c>
      <c r="BQ84" s="476">
        <v>5376</v>
      </c>
      <c r="BR84" s="385" t="s">
        <v>642</v>
      </c>
      <c r="BS84" s="385" t="s">
        <v>643</v>
      </c>
      <c r="BT84" s="385"/>
      <c r="BU84" s="355"/>
      <c r="BV84" s="355"/>
      <c r="BW84" s="426">
        <v>0.47916666666666669</v>
      </c>
      <c r="BX84" s="408">
        <v>45407</v>
      </c>
      <c r="BY84" s="385">
        <v>70</v>
      </c>
      <c r="BZ84" s="385">
        <v>9883.2000000000007</v>
      </c>
      <c r="CA84" s="407">
        <f t="shared" si="46"/>
        <v>3.3333333333333333E-2</v>
      </c>
      <c r="CB84" s="385">
        <v>5440</v>
      </c>
      <c r="CC84" s="385"/>
      <c r="CD84" s="385"/>
      <c r="CG84" s="818"/>
      <c r="CH84" s="569">
        <v>6.9444444444444448E-2</v>
      </c>
      <c r="CI84" s="570">
        <v>45608</v>
      </c>
      <c r="CJ84" s="568">
        <v>55</v>
      </c>
      <c r="CK84" s="568">
        <v>1778</v>
      </c>
      <c r="CL84" s="807">
        <f t="shared" si="52"/>
        <v>0.19117647058823528</v>
      </c>
      <c r="CM84" s="568">
        <v>7888</v>
      </c>
      <c r="CN84" s="568" t="str">
        <f>+CN83</f>
        <v>Irving</v>
      </c>
      <c r="CO84" s="568" t="str">
        <f t="shared" si="55"/>
        <v>DEL VALLE</v>
      </c>
      <c r="CR84" s="409" t="s">
        <v>623</v>
      </c>
      <c r="CS84" s="426">
        <v>0.45208333333333334</v>
      </c>
      <c r="CT84" s="408">
        <v>45918</v>
      </c>
      <c r="CU84" s="385">
        <v>208</v>
      </c>
      <c r="CV84" s="385">
        <v>7242</v>
      </c>
      <c r="CW84" s="385">
        <f t="shared" si="48"/>
        <v>36</v>
      </c>
      <c r="CX84" s="385">
        <v>10956</v>
      </c>
      <c r="CY84" s="385" t="s">
        <v>388</v>
      </c>
      <c r="CZ84" s="385" t="s">
        <v>304</v>
      </c>
      <c r="DC84" s="409" t="s">
        <v>115</v>
      </c>
      <c r="DD84" s="700"/>
      <c r="DE84" s="701">
        <v>46092</v>
      </c>
      <c r="DF84" s="539">
        <v>44</v>
      </c>
      <c r="DG84" s="539"/>
      <c r="DH84" s="742"/>
      <c r="DI84" s="539">
        <v>11754</v>
      </c>
      <c r="DJ84" s="539" t="s">
        <v>513</v>
      </c>
      <c r="DK84" s="539" t="s">
        <v>144</v>
      </c>
      <c r="DN84" s="442" t="s">
        <v>285</v>
      </c>
      <c r="DO84" s="426"/>
      <c r="DP84" s="408">
        <v>45810</v>
      </c>
      <c r="DQ84" s="385">
        <v>135</v>
      </c>
      <c r="DR84" s="385">
        <v>2228</v>
      </c>
      <c r="DS84" s="511">
        <f t="shared" si="56"/>
        <v>14</v>
      </c>
      <c r="DT84" s="385">
        <v>9416</v>
      </c>
      <c r="DU84" s="385" t="s">
        <v>61</v>
      </c>
      <c r="DV84" s="385" t="s">
        <v>644</v>
      </c>
      <c r="DX84" s="442" t="s">
        <v>286</v>
      </c>
      <c r="DY84" s="426">
        <v>0.44791666666666669</v>
      </c>
      <c r="DZ84" s="408">
        <v>45966</v>
      </c>
      <c r="EA84" s="385">
        <v>100</v>
      </c>
      <c r="EB84" s="471">
        <v>1863</v>
      </c>
      <c r="EC84" s="389">
        <f t="shared" si="42"/>
        <v>0</v>
      </c>
      <c r="ED84" s="385">
        <v>11017</v>
      </c>
      <c r="EE84" s="385" t="s">
        <v>308</v>
      </c>
      <c r="EF84" s="385" t="s">
        <v>582</v>
      </c>
      <c r="EW84" s="419" t="s">
        <v>63</v>
      </c>
      <c r="EX84" s="451">
        <v>0.57361111111111107</v>
      </c>
      <c r="EY84" s="421">
        <v>45446</v>
      </c>
      <c r="EZ84" s="452">
        <v>36</v>
      </c>
      <c r="FA84" s="452">
        <v>4778.3</v>
      </c>
      <c r="FB84" s="407">
        <f t="shared" si="57"/>
        <v>0.1200000000000028</v>
      </c>
      <c r="FC84" s="452">
        <v>3723</v>
      </c>
      <c r="FD84" s="452" t="s">
        <v>631</v>
      </c>
      <c r="FE84" s="452" t="s">
        <v>423</v>
      </c>
      <c r="FR84" s="509" t="s">
        <v>288</v>
      </c>
      <c r="FS84" s="426">
        <v>0.35555555555555557</v>
      </c>
      <c r="FT84" s="408">
        <v>45943</v>
      </c>
      <c r="FU84" s="385">
        <v>47</v>
      </c>
      <c r="FV84" s="385">
        <v>3350</v>
      </c>
      <c r="FW84" s="385">
        <f t="shared" si="54"/>
        <v>12</v>
      </c>
      <c r="FX84" s="385">
        <v>10868</v>
      </c>
      <c r="FY84" s="385" t="s">
        <v>652</v>
      </c>
      <c r="FZ84" s="385" t="s">
        <v>351</v>
      </c>
    </row>
    <row r="85" spans="2:281" ht="16.5" thickBot="1" x14ac:dyDescent="0.3">
      <c r="B85" s="354"/>
      <c r="C85" s="354"/>
      <c r="D85" s="354"/>
      <c r="E85" s="354"/>
      <c r="F85" s="354"/>
      <c r="G85" s="354"/>
      <c r="H85" s="354"/>
      <c r="I85" s="354"/>
      <c r="K85" s="355"/>
      <c r="L85" s="355"/>
      <c r="M85" s="355"/>
      <c r="N85" s="355"/>
      <c r="O85" s="355"/>
      <c r="BK85" s="737" t="s">
        <v>503</v>
      </c>
      <c r="BL85" s="426">
        <v>0.6791666666666667</v>
      </c>
      <c r="BM85" s="408">
        <v>45404</v>
      </c>
      <c r="BN85" s="385">
        <v>60</v>
      </c>
      <c r="BO85" s="452">
        <v>9252</v>
      </c>
      <c r="BP85" s="402">
        <f t="shared" si="53"/>
        <v>0</v>
      </c>
      <c r="BQ85" s="440">
        <v>5485</v>
      </c>
      <c r="BR85" s="385" t="s">
        <v>642</v>
      </c>
      <c r="BS85" s="385" t="s">
        <v>643</v>
      </c>
      <c r="BT85" s="385"/>
      <c r="BU85" s="355"/>
      <c r="BV85" s="743" t="s">
        <v>306</v>
      </c>
      <c r="BW85" s="426">
        <v>0.50624999999999998</v>
      </c>
      <c r="BX85" s="408">
        <v>45426</v>
      </c>
      <c r="BY85" s="385">
        <v>48</v>
      </c>
      <c r="BZ85" s="385"/>
      <c r="CA85" s="407"/>
      <c r="CB85" s="385">
        <v>3549</v>
      </c>
      <c r="CC85" s="385"/>
      <c r="CD85" s="385"/>
      <c r="CG85" s="818"/>
      <c r="CH85" s="569">
        <v>0.35</v>
      </c>
      <c r="CI85" s="570">
        <v>45609</v>
      </c>
      <c r="CJ85" s="568">
        <v>124</v>
      </c>
      <c r="CK85" s="568">
        <v>0</v>
      </c>
      <c r="CL85" s="807">
        <f t="shared" si="52"/>
        <v>-32.327272727272728</v>
      </c>
      <c r="CM85" s="568">
        <v>7890</v>
      </c>
      <c r="CN85" s="568" t="str">
        <f>+CN84</f>
        <v>Irving</v>
      </c>
      <c r="CO85" s="568" t="str">
        <f t="shared" si="55"/>
        <v>DEL VALLE</v>
      </c>
      <c r="CR85" s="409" t="s">
        <v>623</v>
      </c>
      <c r="CS85" s="426">
        <v>0.37152777777777779</v>
      </c>
      <c r="CT85" s="408">
        <v>45923</v>
      </c>
      <c r="CU85" s="385">
        <v>183</v>
      </c>
      <c r="CV85" s="385">
        <v>7278</v>
      </c>
      <c r="CW85" s="385">
        <f t="shared" si="48"/>
        <v>36</v>
      </c>
      <c r="CX85" s="385">
        <v>10982</v>
      </c>
      <c r="CY85" s="385" t="s">
        <v>388</v>
      </c>
      <c r="CZ85" s="385" t="s">
        <v>304</v>
      </c>
      <c r="DC85" s="409" t="s">
        <v>115</v>
      </c>
      <c r="DD85" s="724">
        <v>0.36180555555555555</v>
      </c>
      <c r="DE85" s="725">
        <v>46097</v>
      </c>
      <c r="DF85" s="540">
        <v>52</v>
      </c>
      <c r="DG85" s="540"/>
      <c r="DH85" s="819"/>
      <c r="DI85" s="540">
        <v>11783</v>
      </c>
      <c r="DJ85" s="540" t="s">
        <v>513</v>
      </c>
      <c r="DK85" s="540" t="s">
        <v>144</v>
      </c>
      <c r="DO85" s="426">
        <v>0.48819444444444443</v>
      </c>
      <c r="DP85" s="408">
        <v>45813</v>
      </c>
      <c r="DQ85" s="385">
        <v>221</v>
      </c>
      <c r="DR85" s="385">
        <v>2249</v>
      </c>
      <c r="DS85" s="511">
        <f t="shared" si="56"/>
        <v>21</v>
      </c>
      <c r="DT85" s="385">
        <v>10014</v>
      </c>
      <c r="DU85" s="385" t="s">
        <v>61</v>
      </c>
      <c r="DV85" s="385" t="s">
        <v>644</v>
      </c>
      <c r="DW85" s="657" t="s">
        <v>653</v>
      </c>
      <c r="DX85" s="442" t="s">
        <v>286</v>
      </c>
      <c r="DY85" s="426">
        <v>0.54513888888888884</v>
      </c>
      <c r="DZ85" s="408">
        <v>46000</v>
      </c>
      <c r="EA85" s="385">
        <v>219</v>
      </c>
      <c r="EB85" s="539">
        <v>1887</v>
      </c>
      <c r="EC85" s="389">
        <f t="shared" si="42"/>
        <v>24</v>
      </c>
      <c r="ED85" s="385">
        <v>11216</v>
      </c>
      <c r="EE85" s="385" t="s">
        <v>532</v>
      </c>
      <c r="EF85" s="385" t="s">
        <v>654</v>
      </c>
      <c r="EW85" s="419" t="s">
        <v>63</v>
      </c>
      <c r="EX85" s="426">
        <v>0.47222222222222221</v>
      </c>
      <c r="EY85" s="408">
        <v>45467</v>
      </c>
      <c r="EZ85" s="385">
        <v>67</v>
      </c>
      <c r="FA85" s="385">
        <v>4787</v>
      </c>
      <c r="FB85" s="407">
        <f t="shared" si="57"/>
        <v>0.24166666666666162</v>
      </c>
      <c r="FC85" s="385">
        <v>3883</v>
      </c>
      <c r="FD85" s="385" t="s">
        <v>631</v>
      </c>
      <c r="FE85" s="385" t="s">
        <v>149</v>
      </c>
      <c r="FS85" s="451">
        <v>0.5</v>
      </c>
      <c r="FT85" s="421">
        <v>45946</v>
      </c>
      <c r="FU85" s="452">
        <v>85</v>
      </c>
      <c r="FV85" s="452">
        <v>3373</v>
      </c>
      <c r="FW85" s="385">
        <f t="shared" si="54"/>
        <v>23</v>
      </c>
      <c r="FX85" s="452">
        <v>10889</v>
      </c>
      <c r="FY85" s="452" t="s">
        <v>652</v>
      </c>
      <c r="FZ85" s="452" t="s">
        <v>351</v>
      </c>
    </row>
    <row r="86" spans="2:281" ht="16.5" thickBot="1" x14ac:dyDescent="0.3">
      <c r="B86" s="354"/>
      <c r="C86" s="354"/>
      <c r="D86" s="354"/>
      <c r="E86" s="354"/>
      <c r="F86" s="354"/>
      <c r="G86" s="354"/>
      <c r="H86" s="354"/>
      <c r="I86" s="354"/>
      <c r="K86" s="355"/>
      <c r="L86" s="355"/>
      <c r="M86" s="355"/>
      <c r="N86" s="355"/>
      <c r="O86" s="355"/>
      <c r="Q86" s="368"/>
      <c r="R86" s="368"/>
      <c r="S86" s="368"/>
      <c r="T86" s="368"/>
      <c r="U86" s="368"/>
      <c r="V86" s="368"/>
      <c r="W86" s="368"/>
      <c r="X86" s="368"/>
      <c r="Y86" s="368"/>
      <c r="Z86" s="368"/>
      <c r="AA86" s="368"/>
      <c r="BL86" s="451">
        <v>0.7631944444444444</v>
      </c>
      <c r="BM86" s="421">
        <v>45408</v>
      </c>
      <c r="BN86" s="452">
        <v>244</v>
      </c>
      <c r="BO86" s="452">
        <v>9309</v>
      </c>
      <c r="BP86" s="402">
        <f t="shared" si="53"/>
        <v>0.95</v>
      </c>
      <c r="BQ86" s="476">
        <v>5223</v>
      </c>
      <c r="BR86" s="385" t="s">
        <v>642</v>
      </c>
      <c r="BS86" s="385" t="s">
        <v>643</v>
      </c>
      <c r="BT86" s="385"/>
      <c r="BU86" s="355"/>
      <c r="BW86" s="451">
        <v>0.62083333333333335</v>
      </c>
      <c r="BX86" s="421">
        <v>45428</v>
      </c>
      <c r="BY86" s="452">
        <v>106</v>
      </c>
      <c r="BZ86" s="452">
        <v>9906.7000000000007</v>
      </c>
      <c r="CA86" s="402"/>
      <c r="CB86" s="452">
        <v>8203</v>
      </c>
      <c r="CC86" s="385" t="s">
        <v>655</v>
      </c>
      <c r="CD86" s="452" t="s">
        <v>656</v>
      </c>
      <c r="CG86" s="818" t="s">
        <v>307</v>
      </c>
      <c r="CH86" s="569">
        <v>0.2986111111111111</v>
      </c>
      <c r="CI86" s="570">
        <v>45623</v>
      </c>
      <c r="CJ86" s="568">
        <v>100</v>
      </c>
      <c r="CK86" s="568">
        <v>1813</v>
      </c>
      <c r="CL86" s="807">
        <f t="shared" si="52"/>
        <v>14.620967741935484</v>
      </c>
      <c r="CM86" s="568">
        <v>7925</v>
      </c>
      <c r="CN86" s="568" t="s">
        <v>640</v>
      </c>
      <c r="CO86" s="568" t="s">
        <v>657</v>
      </c>
      <c r="CR86" s="409" t="s">
        <v>623</v>
      </c>
      <c r="CS86" s="426">
        <v>0.35138888888888886</v>
      </c>
      <c r="CT86" s="408">
        <v>45929</v>
      </c>
      <c r="CU86" s="385">
        <v>200</v>
      </c>
      <c r="CV86" s="385">
        <v>7311</v>
      </c>
      <c r="CW86" s="385">
        <f t="shared" si="48"/>
        <v>33</v>
      </c>
      <c r="CX86" s="385">
        <v>10911</v>
      </c>
      <c r="CY86" s="385" t="s">
        <v>346</v>
      </c>
      <c r="CZ86" s="385" t="s">
        <v>304</v>
      </c>
      <c r="DD86" s="724">
        <v>0.71944444444444444</v>
      </c>
      <c r="DE86" s="725">
        <v>46099</v>
      </c>
      <c r="DF86" s="540">
        <v>18</v>
      </c>
      <c r="DG86" s="540"/>
      <c r="DH86" s="819"/>
      <c r="DI86" s="540">
        <v>12761</v>
      </c>
      <c r="DJ86" s="540" t="s">
        <v>513</v>
      </c>
      <c r="DK86" s="540" t="s">
        <v>144</v>
      </c>
      <c r="DN86" s="442" t="s">
        <v>285</v>
      </c>
      <c r="DO86" s="426"/>
      <c r="DP86" s="408">
        <v>45818</v>
      </c>
      <c r="DQ86" s="385">
        <v>285</v>
      </c>
      <c r="DR86" s="385">
        <v>2272</v>
      </c>
      <c r="DS86" s="511">
        <f t="shared" si="56"/>
        <v>23</v>
      </c>
      <c r="DT86" s="385">
        <v>10069</v>
      </c>
      <c r="DU86" s="385" t="s">
        <v>61</v>
      </c>
      <c r="DV86" s="385" t="s">
        <v>644</v>
      </c>
      <c r="DY86" s="426" t="s">
        <v>658</v>
      </c>
      <c r="DZ86" s="408">
        <v>46001</v>
      </c>
      <c r="EA86" s="385">
        <v>165</v>
      </c>
      <c r="EB86" s="539">
        <v>1890</v>
      </c>
      <c r="EC86" s="389">
        <f t="shared" si="42"/>
        <v>3</v>
      </c>
      <c r="ED86" s="385">
        <v>11222</v>
      </c>
      <c r="EE86" s="385" t="s">
        <v>532</v>
      </c>
      <c r="EF86" s="385" t="s">
        <v>654</v>
      </c>
      <c r="EW86" s="419" t="s">
        <v>63</v>
      </c>
      <c r="EX86" s="451"/>
      <c r="EY86" s="421">
        <v>45489</v>
      </c>
      <c r="EZ86" s="452">
        <v>59</v>
      </c>
      <c r="FA86" s="452"/>
      <c r="FB86" s="407">
        <f t="shared" si="57"/>
        <v>-71.447761194029852</v>
      </c>
      <c r="FC86" s="452">
        <v>8923</v>
      </c>
      <c r="FD86" s="452"/>
      <c r="FE86" s="452"/>
      <c r="FR86" s="509" t="s">
        <v>288</v>
      </c>
      <c r="FS86" s="426">
        <v>0.24305555555555555</v>
      </c>
      <c r="FT86" s="408">
        <v>45950</v>
      </c>
      <c r="FU86" s="385">
        <v>67</v>
      </c>
      <c r="FV86" s="385">
        <v>3383</v>
      </c>
      <c r="FW86" s="385">
        <f t="shared" si="54"/>
        <v>10</v>
      </c>
      <c r="FX86" s="385">
        <v>11555</v>
      </c>
      <c r="FY86" s="385" t="s">
        <v>652</v>
      </c>
      <c r="FZ86" s="385" t="s">
        <v>351</v>
      </c>
      <c r="JL86" s="361" t="s">
        <v>296</v>
      </c>
      <c r="JM86" s="361" t="s">
        <v>28</v>
      </c>
      <c r="JN86" s="361" t="s">
        <v>207</v>
      </c>
      <c r="JO86" s="361" t="s">
        <v>208</v>
      </c>
      <c r="JP86" s="361" t="s">
        <v>209</v>
      </c>
      <c r="JQ86" s="361" t="s">
        <v>210</v>
      </c>
      <c r="JR86" s="361"/>
      <c r="JS86" s="361"/>
      <c r="JT86" s="361"/>
      <c r="JU86" s="361" t="s">
        <v>211</v>
      </c>
    </row>
    <row r="87" spans="2:281" ht="16.5" thickBot="1" x14ac:dyDescent="0.3">
      <c r="B87" s="354"/>
      <c r="C87" s="354"/>
      <c r="D87" s="354"/>
      <c r="E87" s="354"/>
      <c r="F87" s="354"/>
      <c r="G87" s="354"/>
      <c r="H87" s="354"/>
      <c r="I87" s="354"/>
      <c r="K87" s="355"/>
      <c r="L87" s="355"/>
      <c r="M87" s="355"/>
      <c r="N87" s="355"/>
      <c r="O87" s="355"/>
      <c r="BK87" s="737" t="s">
        <v>503</v>
      </c>
      <c r="BL87" s="385"/>
      <c r="BM87" s="408">
        <v>45418</v>
      </c>
      <c r="BN87" s="385">
        <v>106</v>
      </c>
      <c r="BO87" s="385"/>
      <c r="BP87" s="402"/>
      <c r="BQ87" s="440">
        <v>5606</v>
      </c>
      <c r="BR87" s="385" t="s">
        <v>642</v>
      </c>
      <c r="BS87" s="385" t="s">
        <v>643</v>
      </c>
      <c r="BT87" s="385"/>
      <c r="BU87" s="355"/>
      <c r="BV87" s="743" t="s">
        <v>306</v>
      </c>
      <c r="BW87" s="426">
        <v>0.34861111111111109</v>
      </c>
      <c r="BX87" s="408">
        <v>45432</v>
      </c>
      <c r="BY87" s="385">
        <v>120</v>
      </c>
      <c r="BZ87" s="385">
        <v>9920</v>
      </c>
      <c r="CA87" s="407">
        <f t="shared" ref="CA87:CA133" si="58">(BZ87-BZ86)/BY86</f>
        <v>0.12547169811320069</v>
      </c>
      <c r="CB87" s="385">
        <v>8228</v>
      </c>
      <c r="CC87" s="385" t="s">
        <v>655</v>
      </c>
      <c r="CD87" s="385" t="s">
        <v>659</v>
      </c>
      <c r="CG87" s="818" t="s">
        <v>307</v>
      </c>
      <c r="CH87" s="569">
        <v>0.51458333333333328</v>
      </c>
      <c r="CI87" s="570">
        <v>45630</v>
      </c>
      <c r="CJ87" s="568">
        <v>142</v>
      </c>
      <c r="CK87" s="568">
        <v>1839</v>
      </c>
      <c r="CL87" s="807">
        <f t="shared" si="52"/>
        <v>0.26</v>
      </c>
      <c r="CM87" s="568">
        <v>7325</v>
      </c>
      <c r="CN87" s="568" t="str">
        <f>+CN86</f>
        <v>Irving</v>
      </c>
      <c r="CO87" s="568" t="str">
        <f>+CO86</f>
        <v>SIMRYSE</v>
      </c>
      <c r="CS87" s="426">
        <v>0.45763888888888887</v>
      </c>
      <c r="CT87" s="408">
        <v>45932</v>
      </c>
      <c r="CU87" s="385">
        <v>168</v>
      </c>
      <c r="CV87" s="385">
        <v>7329</v>
      </c>
      <c r="CW87" s="385">
        <f t="shared" si="48"/>
        <v>18</v>
      </c>
      <c r="CX87" s="385">
        <v>10932</v>
      </c>
      <c r="CY87" s="385" t="s">
        <v>346</v>
      </c>
      <c r="CZ87" s="385" t="s">
        <v>304</v>
      </c>
      <c r="DN87" s="442" t="s">
        <v>285</v>
      </c>
      <c r="DO87" s="426"/>
      <c r="DP87" s="408">
        <v>45825</v>
      </c>
      <c r="DQ87" s="385">
        <v>287</v>
      </c>
      <c r="DR87" s="385">
        <v>2312</v>
      </c>
      <c r="DS87" s="511">
        <f t="shared" si="56"/>
        <v>40</v>
      </c>
      <c r="DT87" s="385">
        <v>10569</v>
      </c>
      <c r="DU87" s="385" t="s">
        <v>61</v>
      </c>
      <c r="DV87" s="385" t="s">
        <v>644</v>
      </c>
      <c r="DX87" s="442" t="s">
        <v>286</v>
      </c>
      <c r="DY87" s="426">
        <v>0.56736111111111109</v>
      </c>
      <c r="DZ87" s="408">
        <v>46008</v>
      </c>
      <c r="EA87" s="385">
        <v>200</v>
      </c>
      <c r="EB87" s="539">
        <v>1919</v>
      </c>
      <c r="EC87" s="389">
        <f t="shared" si="42"/>
        <v>29</v>
      </c>
      <c r="ED87" s="385">
        <v>11117</v>
      </c>
      <c r="EE87" s="385" t="s">
        <v>532</v>
      </c>
      <c r="EF87" s="385" t="s">
        <v>654</v>
      </c>
      <c r="EW87" s="419" t="s">
        <v>63</v>
      </c>
      <c r="EX87" s="451"/>
      <c r="EY87" s="421">
        <v>45532</v>
      </c>
      <c r="EZ87" s="452">
        <v>40</v>
      </c>
      <c r="FA87" s="452">
        <v>5011</v>
      </c>
      <c r="FB87" s="407">
        <f t="shared" si="57"/>
        <v>84.932203389830505</v>
      </c>
      <c r="FC87" s="452">
        <v>9006</v>
      </c>
      <c r="FD87" s="452"/>
      <c r="FE87" s="452" t="s">
        <v>457</v>
      </c>
      <c r="FS87" s="426">
        <v>0.53888888888888886</v>
      </c>
      <c r="FT87" s="408">
        <v>45954</v>
      </c>
      <c r="FU87" s="385">
        <v>100</v>
      </c>
      <c r="FV87" s="385">
        <v>3403</v>
      </c>
      <c r="FW87" s="385">
        <f t="shared" si="54"/>
        <v>20</v>
      </c>
      <c r="FX87" s="385">
        <v>11586</v>
      </c>
      <c r="FY87" s="385" t="s">
        <v>652</v>
      </c>
      <c r="FZ87" s="385" t="s">
        <v>351</v>
      </c>
      <c r="JL87" s="379" t="s">
        <v>660</v>
      </c>
      <c r="JM87" s="769"/>
      <c r="JN87" s="770"/>
      <c r="JO87" s="771"/>
      <c r="JP87" s="772"/>
      <c r="JQ87" s="773"/>
      <c r="JU87" s="774"/>
    </row>
    <row r="88" spans="2:281" ht="16.5" thickBot="1" x14ac:dyDescent="0.3">
      <c r="B88" s="354"/>
      <c r="C88" s="354"/>
      <c r="D88" s="354"/>
      <c r="E88" s="354"/>
      <c r="F88" s="354"/>
      <c r="G88" s="354"/>
      <c r="H88" s="354"/>
      <c r="I88" s="354"/>
      <c r="K88" s="355"/>
      <c r="L88" s="355"/>
      <c r="M88" s="355"/>
      <c r="N88" s="355"/>
      <c r="O88" s="355"/>
      <c r="BL88" s="426">
        <v>0.57499999999999996</v>
      </c>
      <c r="BM88" s="408">
        <v>45422</v>
      </c>
      <c r="BN88" s="385">
        <v>126</v>
      </c>
      <c r="BO88" s="385"/>
      <c r="BP88" s="402"/>
      <c r="BQ88" s="440">
        <v>5702</v>
      </c>
      <c r="BR88" s="385" t="s">
        <v>642</v>
      </c>
      <c r="BS88" s="385" t="s">
        <v>643</v>
      </c>
      <c r="BT88" s="385"/>
      <c r="BU88" s="355"/>
      <c r="BW88" s="426">
        <v>0.66319444444444442</v>
      </c>
      <c r="BX88" s="408">
        <v>45433</v>
      </c>
      <c r="BY88" s="385">
        <v>108</v>
      </c>
      <c r="BZ88" s="385">
        <v>9920</v>
      </c>
      <c r="CA88" s="407">
        <f t="shared" si="58"/>
        <v>0</v>
      </c>
      <c r="CB88" s="385">
        <v>8229</v>
      </c>
      <c r="CC88" s="385" t="s">
        <v>655</v>
      </c>
      <c r="CD88" s="385" t="s">
        <v>659</v>
      </c>
      <c r="CG88" s="568"/>
      <c r="CH88" s="569">
        <v>0.375</v>
      </c>
      <c r="CI88" s="570">
        <v>45638</v>
      </c>
      <c r="CJ88" s="568">
        <v>172</v>
      </c>
      <c r="CK88" s="568">
        <v>1866</v>
      </c>
      <c r="CL88" s="807">
        <f t="shared" si="52"/>
        <v>0.19014084507042253</v>
      </c>
      <c r="CM88" s="568">
        <v>7365</v>
      </c>
      <c r="CN88" s="568" t="str">
        <f>+CN87</f>
        <v>Irving</v>
      </c>
      <c r="CO88" s="568" t="s">
        <v>661</v>
      </c>
      <c r="CR88" s="409" t="s">
        <v>623</v>
      </c>
      <c r="CS88" s="451">
        <v>0.59166666666666667</v>
      </c>
      <c r="CT88" s="421">
        <v>45939</v>
      </c>
      <c r="CU88" s="452">
        <v>106</v>
      </c>
      <c r="CV88" s="714">
        <v>7329</v>
      </c>
      <c r="CW88" s="452">
        <f t="shared" si="48"/>
        <v>0</v>
      </c>
      <c r="CX88" s="452">
        <v>10864</v>
      </c>
      <c r="CY88" s="452" t="s">
        <v>346</v>
      </c>
      <c r="CZ88" s="452" t="s">
        <v>304</v>
      </c>
      <c r="DA88" s="348" t="s">
        <v>662</v>
      </c>
      <c r="DN88" s="442" t="s">
        <v>285</v>
      </c>
      <c r="DO88" s="426">
        <v>0.68541666666666667</v>
      </c>
      <c r="DP88" s="408">
        <v>45831</v>
      </c>
      <c r="DQ88" s="385">
        <v>172</v>
      </c>
      <c r="DR88" s="385">
        <v>2343</v>
      </c>
      <c r="DS88" s="511">
        <f t="shared" si="56"/>
        <v>31</v>
      </c>
      <c r="DT88" s="385">
        <v>10569</v>
      </c>
      <c r="DU88" s="385" t="s">
        <v>61</v>
      </c>
      <c r="DV88" s="385" t="s">
        <v>644</v>
      </c>
      <c r="DX88" s="442" t="s">
        <v>286</v>
      </c>
      <c r="DY88" s="426">
        <v>0.5493055555555556</v>
      </c>
      <c r="DZ88" s="408">
        <v>46013</v>
      </c>
      <c r="EA88" s="385">
        <v>245</v>
      </c>
      <c r="EB88" s="539">
        <v>1938</v>
      </c>
      <c r="EC88" s="389">
        <f t="shared" si="42"/>
        <v>19</v>
      </c>
      <c r="ED88" s="385">
        <v>11144</v>
      </c>
      <c r="EE88" s="385" t="s">
        <v>532</v>
      </c>
      <c r="EF88" s="385" t="s">
        <v>654</v>
      </c>
      <c r="EW88" s="419" t="s">
        <v>63</v>
      </c>
      <c r="EX88" s="451">
        <v>0.58680555555555558</v>
      </c>
      <c r="EY88" s="421">
        <v>45539</v>
      </c>
      <c r="EZ88" s="452">
        <v>45</v>
      </c>
      <c r="FA88" s="452">
        <v>5027</v>
      </c>
      <c r="FB88" s="402">
        <f t="shared" si="57"/>
        <v>0.4</v>
      </c>
      <c r="FC88" s="452">
        <v>9049</v>
      </c>
      <c r="FD88" s="452"/>
      <c r="FE88" s="452" t="s">
        <v>457</v>
      </c>
      <c r="FR88" s="509" t="s">
        <v>288</v>
      </c>
      <c r="FS88" s="426">
        <v>0.3611111111111111</v>
      </c>
      <c r="FT88" s="408">
        <v>45981</v>
      </c>
      <c r="FU88" s="385">
        <v>77</v>
      </c>
      <c r="FV88" s="471">
        <v>3403</v>
      </c>
      <c r="FW88" s="385">
        <f t="shared" si="54"/>
        <v>0</v>
      </c>
      <c r="FX88" s="385">
        <v>10952</v>
      </c>
      <c r="FY88" s="385" t="s">
        <v>652</v>
      </c>
      <c r="FZ88" s="385" t="s">
        <v>351</v>
      </c>
      <c r="JL88" s="780" t="s">
        <v>663</v>
      </c>
      <c r="JM88" s="781" t="s">
        <v>619</v>
      </c>
      <c r="JN88" s="820">
        <v>45344</v>
      </c>
      <c r="JO88" s="821">
        <v>20</v>
      </c>
      <c r="JP88" s="598">
        <v>15492</v>
      </c>
      <c r="JQ88" s="822"/>
      <c r="JR88" s="822"/>
      <c r="JS88" s="822"/>
      <c r="JT88" s="822"/>
      <c r="JU88" s="598">
        <v>4841</v>
      </c>
    </row>
    <row r="89" spans="2:281" ht="16.5" thickBot="1" x14ac:dyDescent="0.3">
      <c r="B89" s="354"/>
      <c r="C89" s="354"/>
      <c r="D89" s="354"/>
      <c r="E89" s="354"/>
      <c r="F89" s="354"/>
      <c r="G89" s="354"/>
      <c r="H89" s="354"/>
      <c r="I89" s="354"/>
      <c r="K89" s="355"/>
      <c r="L89" s="355"/>
      <c r="M89" s="355"/>
      <c r="N89" s="355"/>
      <c r="O89" s="355"/>
      <c r="BK89" s="737" t="s">
        <v>503</v>
      </c>
      <c r="BL89" s="451">
        <v>0.61458333333333337</v>
      </c>
      <c r="BM89" s="421">
        <v>45461</v>
      </c>
      <c r="BN89" s="452">
        <v>60</v>
      </c>
      <c r="BO89" s="452"/>
      <c r="BP89" s="402"/>
      <c r="BQ89" s="476">
        <v>3866</v>
      </c>
      <c r="BR89" s="385" t="s">
        <v>642</v>
      </c>
      <c r="BS89" s="385" t="s">
        <v>643</v>
      </c>
      <c r="BT89" s="385"/>
      <c r="BU89" s="355"/>
      <c r="BW89" s="451">
        <v>0.47569444444444442</v>
      </c>
      <c r="BX89" s="421">
        <v>45435</v>
      </c>
      <c r="BY89" s="452">
        <v>82</v>
      </c>
      <c r="BZ89" s="452">
        <v>9943.7000000000007</v>
      </c>
      <c r="CA89" s="402">
        <f t="shared" si="58"/>
        <v>0.21944444444445119</v>
      </c>
      <c r="CB89" s="452">
        <v>4114</v>
      </c>
      <c r="CC89" s="385" t="s">
        <v>655</v>
      </c>
      <c r="CD89" s="452" t="s">
        <v>659</v>
      </c>
      <c r="CG89" s="568" t="s">
        <v>307</v>
      </c>
      <c r="CH89" s="569">
        <v>0.44444444444444442</v>
      </c>
      <c r="CI89" s="570">
        <v>45643</v>
      </c>
      <c r="CJ89" s="568">
        <v>160</v>
      </c>
      <c r="CK89" s="568">
        <v>1893</v>
      </c>
      <c r="CL89" s="807">
        <f t="shared" si="52"/>
        <v>0.15697674418604651</v>
      </c>
      <c r="CM89" s="568">
        <v>7397</v>
      </c>
      <c r="CN89" s="568" t="s">
        <v>664</v>
      </c>
      <c r="CO89" s="568" t="s">
        <v>661</v>
      </c>
      <c r="CR89" s="409" t="s">
        <v>623</v>
      </c>
      <c r="CS89" s="426">
        <v>0.3576388888888889</v>
      </c>
      <c r="CT89" s="408">
        <v>45943</v>
      </c>
      <c r="CU89" s="385">
        <v>84</v>
      </c>
      <c r="CV89" s="471">
        <v>7329</v>
      </c>
      <c r="CW89" s="385">
        <f t="shared" si="48"/>
        <v>0</v>
      </c>
      <c r="CX89" s="385">
        <v>10869</v>
      </c>
      <c r="CY89" s="385" t="s">
        <v>87</v>
      </c>
      <c r="CZ89" s="385" t="s">
        <v>146</v>
      </c>
      <c r="DC89" s="671" t="s">
        <v>242</v>
      </c>
      <c r="DD89" s="823"/>
      <c r="DE89" s="598">
        <f>DE90+250</f>
        <v>6634</v>
      </c>
      <c r="DO89" s="451">
        <v>0.58333333333333337</v>
      </c>
      <c r="DP89" s="421">
        <v>45835</v>
      </c>
      <c r="DQ89" s="452">
        <v>274</v>
      </c>
      <c r="DR89" s="452">
        <v>2372</v>
      </c>
      <c r="DS89" s="511">
        <f t="shared" si="56"/>
        <v>29</v>
      </c>
      <c r="DT89" s="452">
        <v>10797</v>
      </c>
      <c r="DU89" s="452" t="s">
        <v>61</v>
      </c>
      <c r="DV89" s="452" t="s">
        <v>644</v>
      </c>
      <c r="DX89" s="442" t="s">
        <v>286</v>
      </c>
      <c r="DY89" s="426">
        <v>0.34027777777777779</v>
      </c>
      <c r="DZ89" s="408">
        <v>46024</v>
      </c>
      <c r="EA89" s="385">
        <v>293</v>
      </c>
      <c r="EB89" s="539">
        <v>1969</v>
      </c>
      <c r="EC89" s="389">
        <f t="shared" si="42"/>
        <v>31</v>
      </c>
      <c r="ED89" s="385">
        <v>9973</v>
      </c>
      <c r="EE89" s="385" t="s">
        <v>532</v>
      </c>
      <c r="EF89" s="385" t="s">
        <v>654</v>
      </c>
      <c r="EW89" s="419" t="s">
        <v>63</v>
      </c>
      <c r="EX89" s="451">
        <v>0.32430555555555557</v>
      </c>
      <c r="EY89" s="421">
        <v>45552</v>
      </c>
      <c r="EZ89" s="452">
        <v>36</v>
      </c>
      <c r="FA89" s="452">
        <v>5054</v>
      </c>
      <c r="FB89" s="402">
        <f t="shared" si="57"/>
        <v>0.6</v>
      </c>
      <c r="FC89" s="452">
        <v>9078</v>
      </c>
      <c r="FD89" s="452" t="s">
        <v>631</v>
      </c>
      <c r="FE89" s="452" t="s">
        <v>665</v>
      </c>
      <c r="FR89" s="509" t="s">
        <v>288</v>
      </c>
      <c r="FS89" s="426">
        <v>0.49375000000000002</v>
      </c>
      <c r="FT89" s="408">
        <v>45986</v>
      </c>
      <c r="FU89" s="385">
        <v>64</v>
      </c>
      <c r="FV89" s="385">
        <v>3430</v>
      </c>
      <c r="FW89" s="385">
        <f t="shared" si="54"/>
        <v>27</v>
      </c>
      <c r="FX89" s="385">
        <v>11090</v>
      </c>
      <c r="FY89" s="385" t="s">
        <v>434</v>
      </c>
      <c r="FZ89" s="385" t="s">
        <v>666</v>
      </c>
      <c r="JM89" s="781" t="s">
        <v>619</v>
      </c>
      <c r="JN89" s="820">
        <v>45355</v>
      </c>
      <c r="JO89" s="821">
        <v>45</v>
      </c>
      <c r="JP89" s="598">
        <v>155055</v>
      </c>
      <c r="JQ89" s="822"/>
      <c r="JR89" s="822"/>
      <c r="JS89" s="822"/>
      <c r="JT89" s="822"/>
      <c r="JU89" s="598">
        <v>8091</v>
      </c>
    </row>
    <row r="90" spans="2:281" ht="16.5" thickBot="1" x14ac:dyDescent="0.3">
      <c r="B90" s="354"/>
      <c r="C90" s="354"/>
      <c r="D90" s="354"/>
      <c r="E90" s="354"/>
      <c r="F90" s="354"/>
      <c r="G90" s="354"/>
      <c r="H90" s="354"/>
      <c r="I90" s="354"/>
      <c r="K90" s="355"/>
      <c r="L90" s="355"/>
      <c r="M90" s="355"/>
      <c r="N90" s="355"/>
      <c r="O90" s="355"/>
      <c r="BK90" s="737" t="s">
        <v>503</v>
      </c>
      <c r="BL90" s="451">
        <v>0.625</v>
      </c>
      <c r="BM90" s="421">
        <v>45519</v>
      </c>
      <c r="BN90" s="452">
        <v>40</v>
      </c>
      <c r="BO90" s="452"/>
      <c r="BP90" s="402">
        <f>(BO90-BO89)/BN89</f>
        <v>0</v>
      </c>
      <c r="BQ90" s="476">
        <v>8997</v>
      </c>
      <c r="BR90" s="452" t="s">
        <v>642</v>
      </c>
      <c r="BS90" s="452" t="s">
        <v>643</v>
      </c>
      <c r="BT90" s="385"/>
      <c r="BU90" s="355"/>
      <c r="BV90" s="743" t="s">
        <v>306</v>
      </c>
      <c r="BW90" s="426">
        <v>0.45208333333333334</v>
      </c>
      <c r="BX90" s="408">
        <v>45439</v>
      </c>
      <c r="BY90" s="385">
        <v>117</v>
      </c>
      <c r="BZ90" s="385"/>
      <c r="CA90" s="407">
        <f t="shared" si="58"/>
        <v>-121.26463414634148</v>
      </c>
      <c r="CB90" s="385">
        <v>4144</v>
      </c>
      <c r="CC90" s="385" t="s">
        <v>655</v>
      </c>
      <c r="CD90" s="385" t="s">
        <v>659</v>
      </c>
      <c r="CG90" s="568" t="s">
        <v>307</v>
      </c>
      <c r="CH90" s="569">
        <v>0.46527777777777779</v>
      </c>
      <c r="CI90" s="570">
        <v>45646</v>
      </c>
      <c r="CJ90" s="568">
        <v>173</v>
      </c>
      <c r="CK90" s="568">
        <v>1916</v>
      </c>
      <c r="CL90" s="807">
        <f t="shared" si="52"/>
        <v>0.14374999999999999</v>
      </c>
      <c r="CM90" s="568">
        <v>9094</v>
      </c>
      <c r="CN90" s="568" t="s">
        <v>664</v>
      </c>
      <c r="CO90" s="568" t="s">
        <v>661</v>
      </c>
      <c r="CR90" s="354"/>
      <c r="CS90" s="451">
        <v>0.49791666666666667</v>
      </c>
      <c r="CT90" s="421">
        <v>45946</v>
      </c>
      <c r="CU90" s="452">
        <v>245</v>
      </c>
      <c r="CV90" s="452">
        <v>7385</v>
      </c>
      <c r="CW90" s="452">
        <f t="shared" si="48"/>
        <v>56</v>
      </c>
      <c r="CX90" s="452">
        <v>10869</v>
      </c>
      <c r="CY90" s="452" t="s">
        <v>87</v>
      </c>
      <c r="CZ90" s="452" t="s">
        <v>146</v>
      </c>
      <c r="DC90" s="597" t="s">
        <v>438</v>
      </c>
      <c r="DD90" s="712"/>
      <c r="DE90" s="598">
        <v>6384</v>
      </c>
      <c r="DF90" s="824">
        <v>45868</v>
      </c>
      <c r="DN90" s="442" t="s">
        <v>285</v>
      </c>
      <c r="DO90" s="426">
        <v>0.72916666666666663</v>
      </c>
      <c r="DP90" s="408">
        <v>45840</v>
      </c>
      <c r="DQ90" s="385">
        <v>321</v>
      </c>
      <c r="DR90" s="385">
        <v>2400</v>
      </c>
      <c r="DS90" s="511">
        <f t="shared" si="56"/>
        <v>28</v>
      </c>
      <c r="DT90" s="385">
        <v>10723</v>
      </c>
      <c r="DU90" s="385" t="s">
        <v>61</v>
      </c>
      <c r="DV90" s="385" t="s">
        <v>644</v>
      </c>
      <c r="DX90" s="442" t="s">
        <v>286</v>
      </c>
      <c r="DY90" s="426">
        <v>0.67847222222222225</v>
      </c>
      <c r="DZ90" s="408">
        <v>46038</v>
      </c>
      <c r="EA90" s="385">
        <v>259</v>
      </c>
      <c r="EB90" s="539">
        <v>1989</v>
      </c>
      <c r="EC90" s="389">
        <f t="shared" si="42"/>
        <v>20</v>
      </c>
      <c r="ED90" s="385">
        <v>10610</v>
      </c>
      <c r="EE90" s="385" t="s">
        <v>170</v>
      </c>
      <c r="EF90" s="385" t="s">
        <v>75</v>
      </c>
      <c r="EW90" s="419" t="s">
        <v>63</v>
      </c>
      <c r="EX90" s="426">
        <v>0.43958333333333333</v>
      </c>
      <c r="EY90" s="408">
        <v>45558</v>
      </c>
      <c r="EZ90" s="385">
        <v>61</v>
      </c>
      <c r="FA90" s="385">
        <v>5069</v>
      </c>
      <c r="FB90" s="407">
        <f t="shared" si="57"/>
        <v>0.41666666666666669</v>
      </c>
      <c r="FC90" s="385">
        <v>8591</v>
      </c>
      <c r="FD90" s="385" t="s">
        <v>667</v>
      </c>
      <c r="FE90" s="385" t="s">
        <v>665</v>
      </c>
      <c r="FR90" s="509" t="s">
        <v>288</v>
      </c>
      <c r="FS90" s="426">
        <v>0.41249999999999998</v>
      </c>
      <c r="FT90" s="408">
        <v>45992</v>
      </c>
      <c r="FU90" s="385">
        <v>48</v>
      </c>
      <c r="FV90" s="385">
        <v>3430</v>
      </c>
      <c r="FW90" s="385">
        <f t="shared" si="54"/>
        <v>0</v>
      </c>
      <c r="FX90" s="385">
        <v>11264</v>
      </c>
      <c r="FY90" s="385"/>
      <c r="FZ90" s="385"/>
    </row>
    <row r="91" spans="2:281" x14ac:dyDescent="0.25">
      <c r="B91" s="354"/>
      <c r="C91" s="354"/>
      <c r="D91" s="354"/>
      <c r="E91" s="354"/>
      <c r="F91" s="354"/>
      <c r="G91" s="354"/>
      <c r="H91" s="354"/>
      <c r="I91" s="354"/>
      <c r="K91" s="355"/>
      <c r="L91" s="355"/>
      <c r="M91" s="355"/>
      <c r="N91" s="355"/>
      <c r="O91" s="355"/>
      <c r="BK91" s="737" t="s">
        <v>503</v>
      </c>
      <c r="BL91" s="451">
        <v>0.6743055555555556</v>
      </c>
      <c r="BM91" s="421">
        <v>45548</v>
      </c>
      <c r="BN91" s="452">
        <v>90</v>
      </c>
      <c r="BO91" s="452"/>
      <c r="BP91" s="402">
        <f>(BO91-BO90)/BN90</f>
        <v>0</v>
      </c>
      <c r="BQ91" s="476">
        <v>8997</v>
      </c>
      <c r="BR91" s="385" t="s">
        <v>642</v>
      </c>
      <c r="BS91" s="385" t="s">
        <v>643</v>
      </c>
      <c r="BU91" s="355"/>
      <c r="BW91" s="426">
        <v>0.52083333333333337</v>
      </c>
      <c r="BX91" s="408">
        <v>45441</v>
      </c>
      <c r="BY91" s="385">
        <v>123</v>
      </c>
      <c r="BZ91" s="385">
        <v>9975</v>
      </c>
      <c r="CA91" s="407">
        <f t="shared" si="58"/>
        <v>85.256410256410263</v>
      </c>
      <c r="CB91" s="385">
        <v>5677</v>
      </c>
      <c r="CC91" s="385" t="s">
        <v>655</v>
      </c>
      <c r="CD91" s="385" t="s">
        <v>659</v>
      </c>
      <c r="CG91" s="568" t="s">
        <v>307</v>
      </c>
      <c r="CH91" s="569">
        <v>0.41041666666666665</v>
      </c>
      <c r="CI91" s="570">
        <v>45654</v>
      </c>
      <c r="CJ91" s="568">
        <v>146</v>
      </c>
      <c r="CK91" s="568">
        <v>1932</v>
      </c>
      <c r="CL91" s="807">
        <f t="shared" si="52"/>
        <v>9.2485549132947972E-2</v>
      </c>
      <c r="CM91" s="568">
        <v>9186</v>
      </c>
      <c r="CN91" s="568" t="str">
        <f>+CN90</f>
        <v>IRVING</v>
      </c>
      <c r="CO91" s="568" t="s">
        <v>668</v>
      </c>
      <c r="CR91" s="409" t="s">
        <v>623</v>
      </c>
      <c r="CS91" s="426">
        <v>0.25277777777777777</v>
      </c>
      <c r="CT91" s="408">
        <v>45950</v>
      </c>
      <c r="CU91" s="385">
        <v>168</v>
      </c>
      <c r="CV91" s="385">
        <v>7400</v>
      </c>
      <c r="CW91" s="385">
        <f t="shared" si="48"/>
        <v>15</v>
      </c>
      <c r="CX91" s="385">
        <v>11557</v>
      </c>
      <c r="CY91" s="385" t="s">
        <v>87</v>
      </c>
      <c r="CZ91" s="385" t="s">
        <v>146</v>
      </c>
      <c r="DA91" s="348" t="s">
        <v>669</v>
      </c>
      <c r="DN91" s="442" t="s">
        <v>285</v>
      </c>
      <c r="DO91" s="426">
        <v>0.4465277777777778</v>
      </c>
      <c r="DP91" s="408">
        <v>45845</v>
      </c>
      <c r="DQ91" s="385">
        <v>195</v>
      </c>
      <c r="DR91" s="385">
        <v>2422</v>
      </c>
      <c r="DS91" s="511">
        <f t="shared" si="56"/>
        <v>22</v>
      </c>
      <c r="DT91" s="385">
        <v>10101</v>
      </c>
      <c r="DU91" s="385" t="s">
        <v>61</v>
      </c>
      <c r="DV91" s="385" t="s">
        <v>644</v>
      </c>
      <c r="DX91" s="442" t="s">
        <v>286</v>
      </c>
      <c r="DY91" s="426">
        <v>0.34583333333333333</v>
      </c>
      <c r="DZ91" s="408">
        <v>46043</v>
      </c>
      <c r="EA91" s="385">
        <v>316</v>
      </c>
      <c r="EB91" s="539">
        <v>2010</v>
      </c>
      <c r="EC91" s="389">
        <f t="shared" si="42"/>
        <v>21</v>
      </c>
      <c r="ED91" s="385">
        <v>10633</v>
      </c>
      <c r="EE91" s="385" t="s">
        <v>170</v>
      </c>
      <c r="EF91" s="385" t="s">
        <v>75</v>
      </c>
      <c r="EX91" s="451">
        <v>0.66736111111111107</v>
      </c>
      <c r="EY91" s="421">
        <v>45560</v>
      </c>
      <c r="EZ91" s="452">
        <v>49</v>
      </c>
      <c r="FA91" s="452">
        <v>5081</v>
      </c>
      <c r="FB91" s="402">
        <f t="shared" si="57"/>
        <v>0.19672131147540983</v>
      </c>
      <c r="FC91" s="452">
        <v>9110</v>
      </c>
      <c r="FD91" s="452" t="s">
        <v>667</v>
      </c>
      <c r="FE91" s="452" t="s">
        <v>665</v>
      </c>
      <c r="FS91" s="426">
        <v>0.60347222222222219</v>
      </c>
      <c r="FT91" s="408">
        <v>45993</v>
      </c>
      <c r="FU91" s="385">
        <v>29</v>
      </c>
      <c r="FV91" s="448">
        <v>3448</v>
      </c>
      <c r="FW91" s="385">
        <f t="shared" si="54"/>
        <v>18</v>
      </c>
      <c r="FX91" s="385">
        <v>11512</v>
      </c>
      <c r="FY91" s="385"/>
      <c r="FZ91" s="385"/>
      <c r="GA91" s="448" t="s">
        <v>325</v>
      </c>
    </row>
    <row r="92" spans="2:281" ht="16.5" thickBot="1" x14ac:dyDescent="0.3">
      <c r="B92" s="354"/>
      <c r="C92" s="354"/>
      <c r="D92" s="354"/>
      <c r="E92" s="354"/>
      <c r="F92" s="354"/>
      <c r="G92" s="354"/>
      <c r="H92" s="354"/>
      <c r="I92" s="354"/>
      <c r="K92" s="355"/>
      <c r="L92" s="355"/>
      <c r="M92" s="355"/>
      <c r="N92" s="355"/>
      <c r="O92" s="355"/>
      <c r="BK92" s="737" t="s">
        <v>503</v>
      </c>
      <c r="BL92" s="451">
        <v>0.35416666666666669</v>
      </c>
      <c r="BM92" s="421">
        <v>45558</v>
      </c>
      <c r="BN92" s="452">
        <v>101</v>
      </c>
      <c r="BO92" s="452"/>
      <c r="BP92" s="402">
        <f>(BO92-BO91)/BN91</f>
        <v>0</v>
      </c>
      <c r="BQ92" s="476">
        <v>8589</v>
      </c>
      <c r="BR92" s="385" t="s">
        <v>642</v>
      </c>
      <c r="BS92" s="385" t="s">
        <v>643</v>
      </c>
      <c r="BU92" s="355"/>
      <c r="BW92" s="451">
        <v>0.36319444444444443</v>
      </c>
      <c r="BX92" s="421">
        <v>45443</v>
      </c>
      <c r="BY92" s="452">
        <v>117</v>
      </c>
      <c r="BZ92" s="452"/>
      <c r="CA92" s="402">
        <f t="shared" si="58"/>
        <v>-81.097560975609753</v>
      </c>
      <c r="CB92" s="452">
        <v>3701</v>
      </c>
      <c r="CC92" s="452" t="s">
        <v>655</v>
      </c>
      <c r="CD92" s="452" t="s">
        <v>659</v>
      </c>
      <c r="CG92" s="568" t="s">
        <v>307</v>
      </c>
      <c r="CH92" s="569">
        <v>0.35</v>
      </c>
      <c r="CI92" s="570">
        <v>45659</v>
      </c>
      <c r="CJ92" s="568">
        <v>80</v>
      </c>
      <c r="CK92" s="568">
        <v>1947</v>
      </c>
      <c r="CL92" s="807">
        <f t="shared" si="52"/>
        <v>0.10273972602739725</v>
      </c>
      <c r="CM92" s="568">
        <v>12031</v>
      </c>
      <c r="CN92" s="568" t="str">
        <f>+CN91</f>
        <v>IRVING</v>
      </c>
      <c r="CO92" s="546" t="str">
        <f>+CO91</f>
        <v>CENTRO MTY</v>
      </c>
      <c r="CS92" s="451">
        <v>0.49652777777777779</v>
      </c>
      <c r="CT92" s="421">
        <v>45954</v>
      </c>
      <c r="CU92" s="452">
        <v>152</v>
      </c>
      <c r="CV92" s="452">
        <v>7419</v>
      </c>
      <c r="CW92" s="452">
        <f t="shared" si="48"/>
        <v>19</v>
      </c>
      <c r="CX92" s="452">
        <v>11585</v>
      </c>
      <c r="CY92" s="452" t="s">
        <v>87</v>
      </c>
      <c r="CZ92" s="452" t="s">
        <v>146</v>
      </c>
      <c r="DO92" s="426">
        <v>0.50347222222222221</v>
      </c>
      <c r="DP92" s="408">
        <v>45849</v>
      </c>
      <c r="DQ92" s="385">
        <v>247</v>
      </c>
      <c r="DR92" s="385">
        <v>2451</v>
      </c>
      <c r="DS92" s="511">
        <f t="shared" si="56"/>
        <v>29</v>
      </c>
      <c r="DT92" s="385">
        <v>10131</v>
      </c>
      <c r="DU92" s="385" t="s">
        <v>61</v>
      </c>
      <c r="DV92" s="385" t="s">
        <v>644</v>
      </c>
      <c r="DX92" s="442" t="s">
        <v>286</v>
      </c>
      <c r="DY92" s="426">
        <v>0.36180555555555555</v>
      </c>
      <c r="DZ92" s="408">
        <v>46046</v>
      </c>
      <c r="EA92" s="385">
        <v>149</v>
      </c>
      <c r="EB92" s="471">
        <v>2010</v>
      </c>
      <c r="EC92" s="389">
        <f t="shared" si="42"/>
        <v>0</v>
      </c>
      <c r="ED92" s="385">
        <v>10663</v>
      </c>
      <c r="EE92" s="385" t="s">
        <v>170</v>
      </c>
      <c r="EF92" s="385" t="s">
        <v>75</v>
      </c>
      <c r="EW92" s="419" t="s">
        <v>63</v>
      </c>
      <c r="EX92" s="426">
        <v>0.44305555555555554</v>
      </c>
      <c r="EY92" s="408">
        <v>45567</v>
      </c>
      <c r="EZ92" s="385">
        <v>68</v>
      </c>
      <c r="FA92" s="385">
        <v>5094</v>
      </c>
      <c r="FB92" s="407">
        <f t="shared" si="57"/>
        <v>0.26530612244897961</v>
      </c>
      <c r="FC92" s="385">
        <v>11102</v>
      </c>
      <c r="FD92" s="385" t="s">
        <v>667</v>
      </c>
      <c r="FE92" s="385" t="s">
        <v>665</v>
      </c>
      <c r="FS92" s="426">
        <v>0.54305555555555551</v>
      </c>
      <c r="FT92" s="408">
        <v>45996</v>
      </c>
      <c r="FU92" s="385">
        <v>87</v>
      </c>
      <c r="FV92" s="385">
        <v>3465</v>
      </c>
      <c r="FW92" s="385">
        <f t="shared" si="54"/>
        <v>17</v>
      </c>
      <c r="FX92" s="385">
        <v>11294</v>
      </c>
      <c r="FY92" s="385" t="s">
        <v>670</v>
      </c>
      <c r="FZ92" s="385" t="s">
        <v>666</v>
      </c>
    </row>
    <row r="93" spans="2:281" ht="16.5" thickBot="1" x14ac:dyDescent="0.3">
      <c r="B93" s="354"/>
      <c r="C93" s="354"/>
      <c r="D93" s="354"/>
      <c r="E93" s="354"/>
      <c r="F93" s="354"/>
      <c r="G93" s="354"/>
      <c r="H93" s="354"/>
      <c r="I93" s="354"/>
      <c r="K93" s="355"/>
      <c r="L93" s="355"/>
      <c r="M93" s="355"/>
      <c r="N93" s="355"/>
      <c r="O93" s="355"/>
      <c r="BK93" s="550" t="s">
        <v>503</v>
      </c>
      <c r="BL93" s="547">
        <v>0.53611111111111109</v>
      </c>
      <c r="BM93" s="577">
        <v>45568</v>
      </c>
      <c r="BN93" s="546">
        <v>82</v>
      </c>
      <c r="BO93" s="576">
        <v>9431</v>
      </c>
      <c r="BP93" s="825">
        <f>BO93-BO92</f>
        <v>9431</v>
      </c>
      <c r="BQ93" s="550">
        <v>11113</v>
      </c>
      <c r="BR93" s="546" t="s">
        <v>642</v>
      </c>
      <c r="BS93" s="546" t="s">
        <v>643</v>
      </c>
      <c r="BU93" s="355"/>
      <c r="BV93" s="743" t="s">
        <v>306</v>
      </c>
      <c r="BW93" s="426">
        <v>0.33611111111111114</v>
      </c>
      <c r="BX93" s="408">
        <v>45446</v>
      </c>
      <c r="BY93" s="385">
        <v>105</v>
      </c>
      <c r="BZ93" s="385">
        <v>9998.4</v>
      </c>
      <c r="CA93" s="407">
        <f t="shared" si="58"/>
        <v>85.456410256410251</v>
      </c>
      <c r="CB93" s="385">
        <v>3720</v>
      </c>
      <c r="CC93" s="385" t="s">
        <v>655</v>
      </c>
      <c r="CD93" s="385" t="s">
        <v>659</v>
      </c>
      <c r="CG93" s="568" t="str">
        <f>+CG92</f>
        <v>EX09</v>
      </c>
      <c r="CH93" s="569">
        <v>0.40069444444444446</v>
      </c>
      <c r="CI93" s="570">
        <v>45660</v>
      </c>
      <c r="CJ93" s="568">
        <v>164</v>
      </c>
      <c r="CK93" s="568">
        <v>1957</v>
      </c>
      <c r="CL93" s="807">
        <f t="shared" si="52"/>
        <v>0.125</v>
      </c>
      <c r="CM93" s="568">
        <v>12043</v>
      </c>
      <c r="CN93" s="568" t="str">
        <f>+CN92</f>
        <v>IRVING</v>
      </c>
      <c r="CO93" s="546" t="str">
        <f>+CO92</f>
        <v>CENTRO MTY</v>
      </c>
      <c r="CR93" s="409" t="s">
        <v>623</v>
      </c>
      <c r="CS93" s="426"/>
      <c r="CT93" s="408">
        <v>45960</v>
      </c>
      <c r="CU93" s="385">
        <v>150</v>
      </c>
      <c r="CV93" s="385">
        <v>7436</v>
      </c>
      <c r="CW93" s="385">
        <f t="shared" si="48"/>
        <v>17</v>
      </c>
      <c r="CX93" s="385">
        <v>9470</v>
      </c>
      <c r="CY93" s="385" t="s">
        <v>87</v>
      </c>
      <c r="CZ93" s="385" t="s">
        <v>146</v>
      </c>
      <c r="DN93" s="442" t="s">
        <v>285</v>
      </c>
      <c r="DO93" s="426">
        <v>0.67708333333333337</v>
      </c>
      <c r="DP93" s="408">
        <v>45855</v>
      </c>
      <c r="DQ93" s="385">
        <v>207</v>
      </c>
      <c r="DR93" s="385">
        <v>2477</v>
      </c>
      <c r="DS93" s="511">
        <f t="shared" si="56"/>
        <v>26</v>
      </c>
      <c r="DT93" s="385">
        <v>10169</v>
      </c>
      <c r="DU93" s="385" t="s">
        <v>61</v>
      </c>
      <c r="DV93" s="385" t="s">
        <v>644</v>
      </c>
      <c r="DY93" s="426">
        <v>0.40625</v>
      </c>
      <c r="DZ93" s="408">
        <v>46048</v>
      </c>
      <c r="EA93" s="385">
        <v>330</v>
      </c>
      <c r="EB93" s="539">
        <v>2039</v>
      </c>
      <c r="EC93" s="389">
        <f t="shared" si="42"/>
        <v>29</v>
      </c>
      <c r="ED93" s="385">
        <v>10665</v>
      </c>
      <c r="EE93" s="385" t="s">
        <v>170</v>
      </c>
      <c r="EF93" s="385" t="s">
        <v>75</v>
      </c>
      <c r="EW93" s="826" t="str">
        <f>+EW92</f>
        <v>R02</v>
      </c>
      <c r="EX93" s="586">
        <v>0.4548611111111111</v>
      </c>
      <c r="EY93" s="827">
        <v>45570</v>
      </c>
      <c r="EZ93" s="585">
        <v>56</v>
      </c>
      <c r="FA93" s="585">
        <v>5112</v>
      </c>
      <c r="FB93" s="589">
        <f t="shared" si="57"/>
        <v>0.26470588235294118</v>
      </c>
      <c r="FC93" s="585">
        <v>11135</v>
      </c>
      <c r="FD93" s="585" t="str">
        <f>+FD92</f>
        <v>sergio zuñiga</v>
      </c>
      <c r="FE93" s="585" t="str">
        <f>+FE92</f>
        <v>AYD SALINAS</v>
      </c>
      <c r="FR93" s="509" t="s">
        <v>288</v>
      </c>
      <c r="FS93" s="426">
        <v>0.55208333333333337</v>
      </c>
      <c r="FT93" s="408">
        <v>45999</v>
      </c>
      <c r="FU93" s="385">
        <v>38</v>
      </c>
      <c r="FV93" s="385">
        <v>3476</v>
      </c>
      <c r="FW93" s="385">
        <f t="shared" si="54"/>
        <v>11</v>
      </c>
      <c r="FX93" s="385">
        <v>11210</v>
      </c>
      <c r="FY93" s="385" t="s">
        <v>670</v>
      </c>
      <c r="FZ93" s="385" t="s">
        <v>666</v>
      </c>
    </row>
    <row r="94" spans="2:281" x14ac:dyDescent="0.25">
      <c r="B94" s="354"/>
      <c r="C94" s="354"/>
      <c r="D94" s="354"/>
      <c r="E94" s="354"/>
      <c r="F94" s="354"/>
      <c r="G94" s="354"/>
      <c r="H94" s="354"/>
      <c r="I94" s="354"/>
      <c r="K94" s="355"/>
      <c r="L94" s="355"/>
      <c r="M94" s="355"/>
      <c r="N94" s="355"/>
      <c r="O94" s="355"/>
      <c r="BK94" s="568" t="s">
        <v>503</v>
      </c>
      <c r="BL94" s="569">
        <v>0.6020833333333333</v>
      </c>
      <c r="BM94" s="570">
        <v>45573</v>
      </c>
      <c r="BN94" s="568">
        <v>626</v>
      </c>
      <c r="BO94" s="568">
        <v>9445</v>
      </c>
      <c r="BP94" s="825">
        <f>BO94-BO93</f>
        <v>14</v>
      </c>
      <c r="BQ94" s="568">
        <v>11150</v>
      </c>
      <c r="BR94" s="568" t="str">
        <f>+BR93</f>
        <v>SIERRA BAJA</v>
      </c>
      <c r="BS94" s="568" t="str">
        <f>+BS93</f>
        <v>JAVIER LOPEZ</v>
      </c>
      <c r="BU94" s="355"/>
      <c r="BW94" s="426">
        <v>0.63055555555555554</v>
      </c>
      <c r="BX94" s="408">
        <v>45447</v>
      </c>
      <c r="BY94" s="385">
        <v>116</v>
      </c>
      <c r="BZ94" s="385">
        <v>10013</v>
      </c>
      <c r="CA94" s="407">
        <f t="shared" si="58"/>
        <v>0.1390476190476225</v>
      </c>
      <c r="CB94" s="385">
        <v>3732</v>
      </c>
      <c r="CC94" s="385" t="s">
        <v>655</v>
      </c>
      <c r="CD94" s="385" t="s">
        <v>659</v>
      </c>
      <c r="CG94" s="568" t="s">
        <v>307</v>
      </c>
      <c r="CH94" s="569">
        <v>0.4826388888888889</v>
      </c>
      <c r="CI94" s="570">
        <v>45663</v>
      </c>
      <c r="CJ94" s="568">
        <v>93</v>
      </c>
      <c r="CK94" s="568">
        <v>1990</v>
      </c>
      <c r="CL94" s="807">
        <f t="shared" si="52"/>
        <v>0.20121951219512196</v>
      </c>
      <c r="CM94" s="568">
        <v>15011</v>
      </c>
      <c r="CN94" s="568" t="str">
        <f>+CN93</f>
        <v>IRVING</v>
      </c>
      <c r="CO94" s="546" t="str">
        <f>+CO93</f>
        <v>CENTRO MTY</v>
      </c>
      <c r="CR94" s="409" t="s">
        <v>623</v>
      </c>
      <c r="CS94" s="426">
        <v>0.55000000000000004</v>
      </c>
      <c r="CT94" s="408">
        <v>45966</v>
      </c>
      <c r="CU94" s="385">
        <v>169</v>
      </c>
      <c r="CV94" s="385">
        <v>7465</v>
      </c>
      <c r="CW94" s="385">
        <f t="shared" si="48"/>
        <v>29</v>
      </c>
      <c r="CX94" s="385">
        <v>11020</v>
      </c>
      <c r="CY94" s="385" t="s">
        <v>87</v>
      </c>
      <c r="CZ94" s="385" t="s">
        <v>146</v>
      </c>
      <c r="DN94" s="442" t="s">
        <v>285</v>
      </c>
      <c r="DO94" s="426"/>
      <c r="DP94" s="408">
        <v>45868</v>
      </c>
      <c r="DQ94" s="385">
        <v>337</v>
      </c>
      <c r="DR94" s="385">
        <v>2507</v>
      </c>
      <c r="DS94" s="511">
        <f t="shared" si="56"/>
        <v>30</v>
      </c>
      <c r="DT94" s="385">
        <v>10218</v>
      </c>
      <c r="DU94" s="385" t="s">
        <v>61</v>
      </c>
      <c r="DV94" s="385" t="s">
        <v>172</v>
      </c>
      <c r="DY94" s="426">
        <v>0.60416666666666663</v>
      </c>
      <c r="DZ94" s="408">
        <v>46050</v>
      </c>
      <c r="EA94" s="385">
        <v>300</v>
      </c>
      <c r="EB94" s="471">
        <v>2060</v>
      </c>
      <c r="EC94" s="389">
        <f t="shared" si="42"/>
        <v>21</v>
      </c>
      <c r="ED94" s="385">
        <v>10675</v>
      </c>
      <c r="EE94" s="385" t="s">
        <v>170</v>
      </c>
      <c r="EF94" s="385" t="s">
        <v>75</v>
      </c>
      <c r="EG94" s="597" t="s">
        <v>325</v>
      </c>
      <c r="EW94" s="828" t="s">
        <v>63</v>
      </c>
      <c r="EX94" s="604">
        <v>0.38124999999999998</v>
      </c>
      <c r="EY94" s="605">
        <v>45574</v>
      </c>
      <c r="EZ94" s="588">
        <v>48</v>
      </c>
      <c r="FA94" s="603">
        <v>5123</v>
      </c>
      <c r="FB94" s="589">
        <f t="shared" si="57"/>
        <v>0.19642857142857142</v>
      </c>
      <c r="FC94" s="603">
        <v>6603</v>
      </c>
      <c r="FD94" s="603" t="s">
        <v>671</v>
      </c>
      <c r="FE94" s="603" t="s">
        <v>672</v>
      </c>
      <c r="FR94" s="509" t="s">
        <v>288</v>
      </c>
      <c r="FS94" s="426">
        <v>0.34027777777777779</v>
      </c>
      <c r="FT94" s="408">
        <v>46025</v>
      </c>
      <c r="FU94" s="385">
        <v>49</v>
      </c>
      <c r="FV94" s="385">
        <v>3487</v>
      </c>
      <c r="FW94" s="385">
        <f t="shared" si="54"/>
        <v>11</v>
      </c>
      <c r="FX94" s="385">
        <v>10456</v>
      </c>
      <c r="FY94" s="385" t="s">
        <v>673</v>
      </c>
      <c r="FZ94" s="385" t="s">
        <v>149</v>
      </c>
    </row>
    <row r="95" spans="2:281" ht="16.5" thickBot="1" x14ac:dyDescent="0.3">
      <c r="B95" s="354"/>
      <c r="C95" s="354"/>
      <c r="D95" s="354"/>
      <c r="E95" s="354"/>
      <c r="F95" s="354"/>
      <c r="G95" s="354"/>
      <c r="H95" s="354"/>
      <c r="I95" s="354"/>
      <c r="K95" s="355"/>
      <c r="L95" s="355"/>
      <c r="M95" s="355"/>
      <c r="N95" s="355"/>
      <c r="O95" s="355"/>
      <c r="BK95" s="568" t="s">
        <v>503</v>
      </c>
      <c r="BL95" s="569">
        <v>0.65694444444444444</v>
      </c>
      <c r="BM95" s="570">
        <v>45593</v>
      </c>
      <c r="BN95" s="568">
        <v>60</v>
      </c>
      <c r="BO95" s="568">
        <v>0</v>
      </c>
      <c r="BP95" s="825">
        <f t="shared" ref="BP95:BP143" si="59">BO95-BO94</f>
        <v>-9445</v>
      </c>
      <c r="BQ95" s="568">
        <v>6833</v>
      </c>
      <c r="BR95" s="568" t="str">
        <f>+BR93</f>
        <v>SIERRA BAJA</v>
      </c>
      <c r="BS95" s="568" t="str">
        <f>+BS93</f>
        <v>JAVIER LOPEZ</v>
      </c>
      <c r="BU95" s="355"/>
      <c r="BW95" s="451">
        <v>0.48888888888888887</v>
      </c>
      <c r="BX95" s="421">
        <v>45449</v>
      </c>
      <c r="BY95" s="452">
        <v>59</v>
      </c>
      <c r="BZ95" s="452"/>
      <c r="CA95" s="402">
        <f t="shared" si="58"/>
        <v>-86.318965517241381</v>
      </c>
      <c r="CB95" s="452">
        <v>3751</v>
      </c>
      <c r="CC95" s="452" t="s">
        <v>655</v>
      </c>
      <c r="CD95" s="452" t="s">
        <v>659</v>
      </c>
      <c r="CG95" s="568" t="str">
        <f>+CG94</f>
        <v>EX09</v>
      </c>
      <c r="CH95" s="569">
        <v>0.55138888888888882</v>
      </c>
      <c r="CI95" s="570">
        <v>45666</v>
      </c>
      <c r="CJ95" s="568">
        <v>211</v>
      </c>
      <c r="CK95" s="568">
        <v>1996</v>
      </c>
      <c r="CL95" s="807">
        <f t="shared" si="52"/>
        <v>6.4516129032258063E-2</v>
      </c>
      <c r="CM95" s="568">
        <v>7702</v>
      </c>
      <c r="CN95" s="568" t="str">
        <f>+CN94</f>
        <v>IRVING</v>
      </c>
      <c r="CO95" s="546" t="str">
        <f>+CO94</f>
        <v>CENTRO MTY</v>
      </c>
      <c r="CR95" s="409" t="s">
        <v>623</v>
      </c>
      <c r="CS95" s="426">
        <v>0.40972222222222221</v>
      </c>
      <c r="CT95" s="408">
        <v>45971</v>
      </c>
      <c r="CU95" s="385">
        <v>147</v>
      </c>
      <c r="CV95" s="385">
        <v>7480</v>
      </c>
      <c r="CW95" s="385">
        <f t="shared" si="48"/>
        <v>15</v>
      </c>
      <c r="CX95" s="385">
        <v>11151</v>
      </c>
      <c r="CY95" s="385" t="s">
        <v>87</v>
      </c>
      <c r="CZ95" s="385" t="s">
        <v>146</v>
      </c>
      <c r="DM95" s="355"/>
      <c r="DN95" s="442" t="s">
        <v>285</v>
      </c>
      <c r="DO95" s="426">
        <v>0.32708333333333334</v>
      </c>
      <c r="DP95" s="408">
        <v>45873</v>
      </c>
      <c r="DQ95" s="385">
        <v>317</v>
      </c>
      <c r="DR95" s="385">
        <v>2532</v>
      </c>
      <c r="DS95" s="511">
        <f t="shared" si="56"/>
        <v>25</v>
      </c>
      <c r="DT95" s="385">
        <v>10249</v>
      </c>
      <c r="DU95" s="385" t="s">
        <v>61</v>
      </c>
      <c r="DV95" s="385" t="s">
        <v>172</v>
      </c>
      <c r="DX95" s="442" t="s">
        <v>286</v>
      </c>
      <c r="DY95" s="700">
        <v>0.49305555555555558</v>
      </c>
      <c r="DZ95" s="701">
        <v>46056</v>
      </c>
      <c r="EA95" s="539">
        <v>358</v>
      </c>
      <c r="EB95" s="539">
        <v>2083</v>
      </c>
      <c r="EC95" s="389">
        <f t="shared" si="42"/>
        <v>23</v>
      </c>
      <c r="ED95" s="385">
        <v>10404</v>
      </c>
      <c r="EE95" s="385" t="s">
        <v>170</v>
      </c>
      <c r="EF95" s="385" t="s">
        <v>75</v>
      </c>
      <c r="EG95" s="597" t="s">
        <v>674</v>
      </c>
      <c r="EW95" s="603" t="s">
        <v>63</v>
      </c>
      <c r="EX95" s="604">
        <v>0.39791666666666664</v>
      </c>
      <c r="EY95" s="605">
        <v>45581</v>
      </c>
      <c r="EZ95" s="603">
        <v>44</v>
      </c>
      <c r="FA95" s="603">
        <v>5151</v>
      </c>
      <c r="FB95" s="589">
        <f t="shared" si="57"/>
        <v>0.58333333333333337</v>
      </c>
      <c r="FC95" s="603">
        <v>11075</v>
      </c>
      <c r="FD95" s="603" t="str">
        <f>+FD94</f>
        <v>Sergio</v>
      </c>
      <c r="FE95" s="603" t="str">
        <f>+FE94</f>
        <v>Salinas</v>
      </c>
      <c r="FS95" s="426">
        <v>0.38124999999999998</v>
      </c>
      <c r="FT95" s="408">
        <v>46030</v>
      </c>
      <c r="FU95" s="385">
        <v>75</v>
      </c>
      <c r="FV95" s="385">
        <v>3503</v>
      </c>
      <c r="FW95" s="385">
        <f t="shared" si="54"/>
        <v>16</v>
      </c>
      <c r="FX95" s="385">
        <v>9903</v>
      </c>
      <c r="FY95" s="385" t="s">
        <v>675</v>
      </c>
      <c r="FZ95" s="385" t="s">
        <v>676</v>
      </c>
    </row>
    <row r="96" spans="2:281" ht="16.5" thickBot="1" x14ac:dyDescent="0.3">
      <c r="B96" s="354"/>
      <c r="C96" s="354"/>
      <c r="D96" s="354"/>
      <c r="E96" s="354"/>
      <c r="F96" s="354"/>
      <c r="G96" s="354"/>
      <c r="H96" s="354"/>
      <c r="I96" s="354"/>
      <c r="K96" s="355"/>
      <c r="L96" s="355"/>
      <c r="M96" s="355"/>
      <c r="N96" s="355"/>
      <c r="O96" s="355"/>
      <c r="BK96" s="568" t="str">
        <f>+BK95</f>
        <v>EX07</v>
      </c>
      <c r="BL96" s="569">
        <v>0.52013888888888893</v>
      </c>
      <c r="BM96" s="570">
        <v>45596</v>
      </c>
      <c r="BN96" s="568">
        <v>89</v>
      </c>
      <c r="BO96" s="568">
        <v>9463</v>
      </c>
      <c r="BP96" s="825">
        <f t="shared" si="59"/>
        <v>9463</v>
      </c>
      <c r="BQ96" s="568">
        <v>7046</v>
      </c>
      <c r="BR96" s="568" t="str">
        <f>+BR95</f>
        <v>SIERRA BAJA</v>
      </c>
      <c r="BS96" s="568" t="str">
        <f>+BS95</f>
        <v>JAVIER LOPEZ</v>
      </c>
      <c r="BU96" s="355"/>
      <c r="BV96" s="743" t="s">
        <v>306</v>
      </c>
      <c r="BW96" s="551">
        <v>0.49722222222222223</v>
      </c>
      <c r="BX96" s="552">
        <v>45454</v>
      </c>
      <c r="BY96" s="393">
        <v>54</v>
      </c>
      <c r="BZ96" s="393">
        <v>10031</v>
      </c>
      <c r="CA96" s="477">
        <f t="shared" si="58"/>
        <v>170.01694915254237</v>
      </c>
      <c r="CB96" s="393">
        <v>3787</v>
      </c>
      <c r="CC96" s="393" t="s">
        <v>406</v>
      </c>
      <c r="CD96" s="385" t="s">
        <v>677</v>
      </c>
      <c r="CG96" s="568" t="s">
        <v>307</v>
      </c>
      <c r="CH96" s="569">
        <v>0.43958333333333333</v>
      </c>
      <c r="CI96" s="570">
        <v>45668</v>
      </c>
      <c r="CJ96" s="568">
        <v>100</v>
      </c>
      <c r="CK96" s="568">
        <v>2013</v>
      </c>
      <c r="CL96" s="807">
        <f t="shared" si="52"/>
        <v>8.0568720379146919E-2</v>
      </c>
      <c r="CM96" s="568">
        <v>7747</v>
      </c>
      <c r="CN96" s="568" t="s">
        <v>664</v>
      </c>
      <c r="CO96" s="568" t="s">
        <v>390</v>
      </c>
      <c r="CS96" s="426">
        <v>0.69374999999999998</v>
      </c>
      <c r="CT96" s="408">
        <v>45973</v>
      </c>
      <c r="CU96" s="385">
        <v>120</v>
      </c>
      <c r="CV96" s="385">
        <v>7502</v>
      </c>
      <c r="CW96" s="385">
        <f t="shared" si="48"/>
        <v>22</v>
      </c>
      <c r="CX96" s="385">
        <v>11171</v>
      </c>
      <c r="CY96" s="385" t="s">
        <v>87</v>
      </c>
      <c r="CZ96" s="385" t="s">
        <v>146</v>
      </c>
      <c r="DO96" s="451">
        <v>0.59722222222222221</v>
      </c>
      <c r="DP96" s="421">
        <v>45876</v>
      </c>
      <c r="DQ96" s="452">
        <v>323</v>
      </c>
      <c r="DR96" s="452">
        <v>2557</v>
      </c>
      <c r="DS96" s="511">
        <f t="shared" si="56"/>
        <v>25</v>
      </c>
      <c r="DT96" s="452">
        <v>11380</v>
      </c>
      <c r="DU96" s="452" t="s">
        <v>61</v>
      </c>
      <c r="DV96" s="452" t="s">
        <v>172</v>
      </c>
      <c r="DY96" s="700">
        <v>0.46041666666666664</v>
      </c>
      <c r="DZ96" s="701">
        <v>46059</v>
      </c>
      <c r="EA96" s="539">
        <v>347</v>
      </c>
      <c r="EB96" s="539">
        <v>2107</v>
      </c>
      <c r="EC96" s="389">
        <f t="shared" si="42"/>
        <v>24</v>
      </c>
      <c r="ED96" s="385">
        <v>10503</v>
      </c>
      <c r="EE96" s="385" t="s">
        <v>170</v>
      </c>
      <c r="EF96" s="385" t="s">
        <v>75</v>
      </c>
      <c r="EW96" s="603" t="s">
        <v>63</v>
      </c>
      <c r="EX96" s="604">
        <v>0.41388888888888886</v>
      </c>
      <c r="EY96" s="605">
        <v>45584</v>
      </c>
      <c r="EZ96" s="603">
        <v>49</v>
      </c>
      <c r="FA96" s="603">
        <v>5163</v>
      </c>
      <c r="FB96" s="589">
        <f t="shared" si="57"/>
        <v>0.27272727272727271</v>
      </c>
      <c r="FC96" s="603">
        <v>11091</v>
      </c>
      <c r="FD96" s="603" t="str">
        <f>+FD95</f>
        <v>Sergio</v>
      </c>
      <c r="FE96" s="603" t="str">
        <f>+FE95</f>
        <v>Salinas</v>
      </c>
      <c r="FR96" s="509" t="s">
        <v>288</v>
      </c>
      <c r="FS96" s="426">
        <v>0.42291666666666666</v>
      </c>
      <c r="FT96" s="408">
        <v>46032</v>
      </c>
      <c r="FU96" s="385">
        <v>56</v>
      </c>
      <c r="FV96" s="385">
        <v>3515</v>
      </c>
      <c r="FW96" s="385">
        <f t="shared" si="54"/>
        <v>12</v>
      </c>
      <c r="FX96" s="385">
        <v>9917</v>
      </c>
      <c r="FY96" s="385" t="s">
        <v>675</v>
      </c>
      <c r="FZ96" s="385" t="s">
        <v>676</v>
      </c>
    </row>
    <row r="97" spans="2:183" ht="17.25" customHeight="1" thickBot="1" x14ac:dyDescent="0.3">
      <c r="B97" s="354"/>
      <c r="C97" s="354"/>
      <c r="D97" s="354"/>
      <c r="E97" s="354"/>
      <c r="F97" s="354"/>
      <c r="G97" s="354"/>
      <c r="H97" s="354"/>
      <c r="I97" s="354"/>
      <c r="K97" s="355"/>
      <c r="L97" s="355"/>
      <c r="M97" s="355"/>
      <c r="N97" s="355"/>
      <c r="O97" s="355"/>
      <c r="BK97" s="568" t="s">
        <v>503</v>
      </c>
      <c r="BL97" s="569">
        <v>0.33402777777777776</v>
      </c>
      <c r="BM97" s="570">
        <v>45601</v>
      </c>
      <c r="BN97" s="568">
        <v>40</v>
      </c>
      <c r="BO97" s="568">
        <v>0</v>
      </c>
      <c r="BP97" s="825">
        <f t="shared" si="59"/>
        <v>-9463</v>
      </c>
      <c r="BQ97" s="568">
        <v>6899</v>
      </c>
      <c r="BR97" s="568" t="str">
        <f>+BR96</f>
        <v>SIERRA BAJA</v>
      </c>
      <c r="BS97" s="568" t="str">
        <f>+BS96</f>
        <v>JAVIER LOPEZ</v>
      </c>
      <c r="BU97" s="355"/>
      <c r="BW97" s="451">
        <v>0.6020833333333333</v>
      </c>
      <c r="BX97" s="421">
        <v>45456</v>
      </c>
      <c r="BY97" s="452">
        <v>70</v>
      </c>
      <c r="BZ97" s="452">
        <v>10042</v>
      </c>
      <c r="CA97" s="402">
        <f t="shared" si="58"/>
        <v>0.20370370370370369</v>
      </c>
      <c r="CB97" s="452">
        <v>3787</v>
      </c>
      <c r="CC97" s="452" t="s">
        <v>406</v>
      </c>
      <c r="CD97" s="612" t="s">
        <v>677</v>
      </c>
      <c r="CG97" s="568" t="s">
        <v>307</v>
      </c>
      <c r="CH97" s="569">
        <v>0.31944444444444442</v>
      </c>
      <c r="CI97" s="570">
        <v>45673</v>
      </c>
      <c r="CJ97" s="568">
        <v>132</v>
      </c>
      <c r="CK97" s="568">
        <v>2022</v>
      </c>
      <c r="CL97" s="807">
        <f t="shared" si="52"/>
        <v>0.09</v>
      </c>
      <c r="CM97" s="568">
        <v>12090</v>
      </c>
      <c r="CN97" s="568" t="str">
        <f>+CN96</f>
        <v>IRVING</v>
      </c>
      <c r="CO97" s="568" t="s">
        <v>678</v>
      </c>
      <c r="CP97" s="829" t="s">
        <v>325</v>
      </c>
      <c r="CQ97" s="441"/>
      <c r="CR97" s="409" t="s">
        <v>623</v>
      </c>
      <c r="CS97" s="426"/>
      <c r="CT97" s="408">
        <v>45985</v>
      </c>
      <c r="CU97" s="385">
        <v>240</v>
      </c>
      <c r="CV97" s="385">
        <v>7561</v>
      </c>
      <c r="CW97" s="385">
        <f t="shared" si="48"/>
        <v>59</v>
      </c>
      <c r="CX97" s="385">
        <v>11084</v>
      </c>
      <c r="CY97" s="385" t="s">
        <v>87</v>
      </c>
      <c r="CZ97" s="385" t="s">
        <v>146</v>
      </c>
      <c r="DA97" s="597" t="s">
        <v>590</v>
      </c>
      <c r="DN97" s="442" t="s">
        <v>285</v>
      </c>
      <c r="DO97" s="426">
        <v>0.72291666666666665</v>
      </c>
      <c r="DP97" s="408">
        <v>45878</v>
      </c>
      <c r="DQ97" s="385">
        <v>280</v>
      </c>
      <c r="DR97" s="385">
        <v>2576</v>
      </c>
      <c r="DS97" s="511">
        <f t="shared" si="56"/>
        <v>19</v>
      </c>
      <c r="DT97" s="385">
        <v>11397</v>
      </c>
      <c r="DU97" s="385" t="s">
        <v>61</v>
      </c>
      <c r="DV97" s="385" t="s">
        <v>172</v>
      </c>
      <c r="DX97" s="442" t="s">
        <v>286</v>
      </c>
      <c r="DY97" s="700">
        <v>0.63263888888888886</v>
      </c>
      <c r="DZ97" s="701">
        <v>46063</v>
      </c>
      <c r="EA97" s="539">
        <v>288</v>
      </c>
      <c r="EB97" s="539">
        <v>2127</v>
      </c>
      <c r="EC97" s="389">
        <f t="shared" si="42"/>
        <v>20</v>
      </c>
      <c r="ED97" s="385">
        <v>10535</v>
      </c>
      <c r="EE97" s="385" t="s">
        <v>170</v>
      </c>
      <c r="EF97" s="385" t="s">
        <v>75</v>
      </c>
      <c r="EW97" s="603" t="s">
        <v>63</v>
      </c>
      <c r="EX97" s="604">
        <v>0.44097222222222221</v>
      </c>
      <c r="EY97" s="605">
        <v>45587</v>
      </c>
      <c r="EZ97" s="603">
        <v>42</v>
      </c>
      <c r="FA97" s="603">
        <v>5173</v>
      </c>
      <c r="FB97" s="589">
        <f t="shared" si="57"/>
        <v>0.20408163265306123</v>
      </c>
      <c r="FC97" s="603">
        <v>7555</v>
      </c>
      <c r="FD97" s="603" t="str">
        <f>+FD96</f>
        <v>Sergio</v>
      </c>
      <c r="FE97" s="603" t="s">
        <v>679</v>
      </c>
      <c r="FS97" s="426">
        <v>0.49791666666666667</v>
      </c>
      <c r="FT97" s="408">
        <v>46036</v>
      </c>
      <c r="FU97" s="385">
        <v>53</v>
      </c>
      <c r="FV97" s="385">
        <v>3528</v>
      </c>
      <c r="FW97" s="385">
        <f t="shared" si="54"/>
        <v>13</v>
      </c>
      <c r="FX97" s="385">
        <v>9941</v>
      </c>
      <c r="FY97" s="385" t="s">
        <v>675</v>
      </c>
      <c r="FZ97" s="385" t="s">
        <v>676</v>
      </c>
    </row>
    <row r="98" spans="2:183" ht="16.5" thickBot="1" x14ac:dyDescent="0.3">
      <c r="B98" s="354"/>
      <c r="C98" s="354"/>
      <c r="D98" s="354"/>
      <c r="E98" s="354"/>
      <c r="F98" s="354"/>
      <c r="G98" s="354"/>
      <c r="H98" s="354"/>
      <c r="I98" s="354"/>
      <c r="K98" s="355"/>
      <c r="L98" s="355"/>
      <c r="M98" s="355"/>
      <c r="N98" s="355"/>
      <c r="O98" s="355"/>
      <c r="BK98" s="568" t="str">
        <f>+BK97</f>
        <v>EX07</v>
      </c>
      <c r="BL98" s="569">
        <v>0.58888888888888891</v>
      </c>
      <c r="BM98" s="570">
        <v>45602</v>
      </c>
      <c r="BN98" s="568">
        <v>150</v>
      </c>
      <c r="BO98" s="568">
        <v>9489</v>
      </c>
      <c r="BP98" s="825">
        <f t="shared" si="59"/>
        <v>9489</v>
      </c>
      <c r="BQ98" s="568">
        <v>7266</v>
      </c>
      <c r="BR98" s="568" t="s">
        <v>680</v>
      </c>
      <c r="BS98" s="568" t="s">
        <v>680</v>
      </c>
      <c r="BU98" s="355"/>
      <c r="BV98" s="743" t="s">
        <v>306</v>
      </c>
      <c r="BW98" s="727">
        <v>0.48472222222222222</v>
      </c>
      <c r="BX98" s="728">
        <v>45460</v>
      </c>
      <c r="BY98" s="729">
        <v>60</v>
      </c>
      <c r="BZ98" s="729">
        <v>10056</v>
      </c>
      <c r="CA98" s="830">
        <f t="shared" si="58"/>
        <v>0.2</v>
      </c>
      <c r="CB98" s="729">
        <v>3985</v>
      </c>
      <c r="CC98" s="729" t="s">
        <v>406</v>
      </c>
      <c r="CD98" s="452" t="s">
        <v>677</v>
      </c>
      <c r="CG98" s="442" t="s">
        <v>307</v>
      </c>
      <c r="CH98" s="451">
        <v>0.35138888888888886</v>
      </c>
      <c r="CI98" s="421">
        <v>45677</v>
      </c>
      <c r="CJ98" s="452">
        <v>157</v>
      </c>
      <c r="CK98" s="452">
        <v>2045</v>
      </c>
      <c r="CL98" s="527">
        <f t="shared" si="52"/>
        <v>0.17424242424242425</v>
      </c>
      <c r="CM98" s="476">
        <v>13021</v>
      </c>
      <c r="CN98" s="452" t="s">
        <v>640</v>
      </c>
      <c r="CO98" s="452" t="s">
        <v>681</v>
      </c>
      <c r="CS98" s="426">
        <v>0.72222222222222221</v>
      </c>
      <c r="CT98" s="408">
        <v>45987</v>
      </c>
      <c r="CU98" s="385">
        <v>143</v>
      </c>
      <c r="CV98" s="385">
        <v>7576</v>
      </c>
      <c r="CW98" s="385">
        <f t="shared" si="48"/>
        <v>15</v>
      </c>
      <c r="CX98" s="385">
        <v>11251</v>
      </c>
      <c r="CY98" s="385" t="s">
        <v>87</v>
      </c>
      <c r="CZ98" s="385" t="s">
        <v>146</v>
      </c>
      <c r="DO98" s="426">
        <v>0.37569444444444444</v>
      </c>
      <c r="DP98" s="408">
        <v>45881</v>
      </c>
      <c r="DQ98" s="385">
        <v>269</v>
      </c>
      <c r="DR98" s="385">
        <v>2594</v>
      </c>
      <c r="DS98" s="511">
        <f t="shared" si="56"/>
        <v>18</v>
      </c>
      <c r="DT98" s="385">
        <v>10356</v>
      </c>
      <c r="DU98" s="385" t="s">
        <v>61</v>
      </c>
      <c r="DV98" s="385" t="s">
        <v>172</v>
      </c>
      <c r="DY98" s="700">
        <v>0.42499999999999999</v>
      </c>
      <c r="DZ98" s="701">
        <v>46065</v>
      </c>
      <c r="EA98" s="539">
        <v>253</v>
      </c>
      <c r="EB98" s="539">
        <v>2140</v>
      </c>
      <c r="EC98" s="389">
        <f t="shared" si="42"/>
        <v>13</v>
      </c>
      <c r="ED98" s="385">
        <v>10549</v>
      </c>
      <c r="EE98" s="385" t="s">
        <v>170</v>
      </c>
      <c r="EF98" s="385" t="s">
        <v>75</v>
      </c>
      <c r="EW98" s="603" t="s">
        <v>63</v>
      </c>
      <c r="EX98" s="604">
        <v>0.47847222222222224</v>
      </c>
      <c r="EY98" s="605">
        <v>45589</v>
      </c>
      <c r="EZ98" s="603">
        <v>59</v>
      </c>
      <c r="FA98" s="603">
        <v>5188</v>
      </c>
      <c r="FB98" s="589">
        <f t="shared" si="57"/>
        <v>0.35714285714285715</v>
      </c>
      <c r="FC98" s="603">
        <v>7572</v>
      </c>
      <c r="FD98" s="603" t="str">
        <f>+FD97</f>
        <v>Sergio</v>
      </c>
      <c r="FE98" s="603" t="str">
        <f>+FE97</f>
        <v xml:space="preserve">Salinas </v>
      </c>
      <c r="FR98" s="509" t="s">
        <v>288</v>
      </c>
      <c r="FS98" s="426">
        <v>0.54097222222222219</v>
      </c>
      <c r="FT98" s="408">
        <v>46042</v>
      </c>
      <c r="FU98" s="385">
        <v>38</v>
      </c>
      <c r="FV98" s="385">
        <v>3537</v>
      </c>
      <c r="FW98" s="385">
        <f t="shared" si="54"/>
        <v>9</v>
      </c>
      <c r="FX98" s="385">
        <v>10629</v>
      </c>
      <c r="FY98" s="385" t="s">
        <v>675</v>
      </c>
      <c r="FZ98" s="385" t="s">
        <v>676</v>
      </c>
      <c r="GA98" s="657" t="s">
        <v>682</v>
      </c>
    </row>
    <row r="99" spans="2:183" ht="16.5" thickBot="1" x14ac:dyDescent="0.3">
      <c r="B99" s="354"/>
      <c r="C99" s="354"/>
      <c r="D99" s="354"/>
      <c r="E99" s="354"/>
      <c r="F99" s="354"/>
      <c r="G99" s="354"/>
      <c r="H99" s="354"/>
      <c r="I99" s="354"/>
      <c r="K99" s="355"/>
      <c r="L99" s="355"/>
      <c r="M99" s="355"/>
      <c r="N99" s="355"/>
      <c r="O99" s="355"/>
      <c r="P99" s="368"/>
      <c r="BK99" s="568" t="str">
        <f>+BK98</f>
        <v>EX07</v>
      </c>
      <c r="BL99" s="569">
        <v>0.47916666666666669</v>
      </c>
      <c r="BM99" s="570">
        <v>45604</v>
      </c>
      <c r="BN99" s="568">
        <v>112</v>
      </c>
      <c r="BO99" s="568">
        <v>9499</v>
      </c>
      <c r="BP99" s="825">
        <f t="shared" si="59"/>
        <v>10</v>
      </c>
      <c r="BQ99" s="568">
        <v>7282</v>
      </c>
      <c r="BR99" s="568" t="str">
        <f>+BR98</f>
        <v>CENTRO</v>
      </c>
      <c r="BS99" s="568" t="str">
        <f>+BS98</f>
        <v>CENTRO</v>
      </c>
      <c r="BU99" s="355"/>
      <c r="BV99" s="743" t="s">
        <v>306</v>
      </c>
      <c r="BW99" s="753">
        <v>0.44236111111111109</v>
      </c>
      <c r="BX99" s="754">
        <v>45467</v>
      </c>
      <c r="BY99" s="755">
        <v>62</v>
      </c>
      <c r="BZ99" s="755">
        <v>10067</v>
      </c>
      <c r="CA99" s="831">
        <f t="shared" si="58"/>
        <v>0.18333333333333332</v>
      </c>
      <c r="CB99" s="755">
        <v>4003</v>
      </c>
      <c r="CC99" s="755" t="s">
        <v>406</v>
      </c>
      <c r="CD99" s="393" t="s">
        <v>677</v>
      </c>
      <c r="CH99" s="451">
        <v>0.52708333333333335</v>
      </c>
      <c r="CI99" s="421">
        <v>45680</v>
      </c>
      <c r="CJ99" s="452">
        <v>70</v>
      </c>
      <c r="CK99" s="452">
        <v>2061</v>
      </c>
      <c r="CL99" s="527">
        <f t="shared" si="52"/>
        <v>0.10191082802547771</v>
      </c>
      <c r="CM99" s="476">
        <v>13021</v>
      </c>
      <c r="CN99" s="452" t="s">
        <v>170</v>
      </c>
      <c r="CO99" s="452" t="s">
        <v>681</v>
      </c>
      <c r="CR99" s="409" t="s">
        <v>623</v>
      </c>
      <c r="CS99" s="426">
        <v>0.57222222222222219</v>
      </c>
      <c r="CT99" s="408">
        <v>45993</v>
      </c>
      <c r="CU99" s="385">
        <v>184</v>
      </c>
      <c r="CV99" s="385">
        <v>7595</v>
      </c>
      <c r="CW99" s="385">
        <f t="shared" si="48"/>
        <v>19</v>
      </c>
      <c r="CX99" s="385">
        <v>11270</v>
      </c>
      <c r="CY99" s="385" t="s">
        <v>87</v>
      </c>
      <c r="CZ99" s="385" t="s">
        <v>146</v>
      </c>
      <c r="DO99" s="451">
        <v>0.74444444444444446</v>
      </c>
      <c r="DP99" s="421">
        <v>45883</v>
      </c>
      <c r="DQ99" s="452">
        <v>269</v>
      </c>
      <c r="DR99" s="452">
        <v>2612</v>
      </c>
      <c r="DS99" s="511">
        <f t="shared" si="56"/>
        <v>18</v>
      </c>
      <c r="DT99" s="452">
        <v>10372</v>
      </c>
      <c r="DU99" s="452" t="s">
        <v>61</v>
      </c>
      <c r="DV99" s="452" t="s">
        <v>172</v>
      </c>
      <c r="DX99" s="442" t="s">
        <v>286</v>
      </c>
      <c r="DY99" s="700">
        <v>0.51875000000000004</v>
      </c>
      <c r="DZ99" s="701">
        <v>46069</v>
      </c>
      <c r="EA99" s="539">
        <v>331</v>
      </c>
      <c r="EB99" s="539">
        <v>2161</v>
      </c>
      <c r="EC99" s="389">
        <f t="shared" si="42"/>
        <v>21</v>
      </c>
      <c r="ED99" s="385">
        <v>10479</v>
      </c>
      <c r="EE99" s="385" t="s">
        <v>170</v>
      </c>
      <c r="EF99" s="385" t="s">
        <v>75</v>
      </c>
      <c r="EW99" s="603" t="s">
        <v>63</v>
      </c>
      <c r="EX99" s="604">
        <v>0.3527777777777778</v>
      </c>
      <c r="EY99" s="605">
        <v>45591</v>
      </c>
      <c r="EZ99" s="603">
        <v>60</v>
      </c>
      <c r="FA99" s="603">
        <v>0</v>
      </c>
      <c r="FB99" s="589">
        <f t="shared" si="57"/>
        <v>-87.932203389830505</v>
      </c>
      <c r="FC99" s="603">
        <v>6817</v>
      </c>
      <c r="FD99" s="603" t="str">
        <f>+FD98</f>
        <v>Sergio</v>
      </c>
      <c r="FE99" s="603" t="str">
        <f>+FE98</f>
        <v xml:space="preserve">Salinas </v>
      </c>
      <c r="FF99" s="348" t="s">
        <v>683</v>
      </c>
      <c r="FS99" s="426">
        <v>0.53263888888888888</v>
      </c>
      <c r="FT99" s="408">
        <v>46045</v>
      </c>
      <c r="FU99" s="385">
        <v>105</v>
      </c>
      <c r="FV99" s="385">
        <v>3560</v>
      </c>
      <c r="FW99" s="385">
        <f t="shared" si="54"/>
        <v>23</v>
      </c>
      <c r="FX99" s="385">
        <v>10655</v>
      </c>
      <c r="FY99" s="385" t="s">
        <v>675</v>
      </c>
      <c r="FZ99" s="385" t="s">
        <v>676</v>
      </c>
    </row>
    <row r="100" spans="2:183" x14ac:dyDescent="0.25">
      <c r="B100" s="354"/>
      <c r="C100" s="354"/>
      <c r="D100" s="354"/>
      <c r="E100" s="354"/>
      <c r="F100" s="354"/>
      <c r="G100" s="354"/>
      <c r="H100" s="354"/>
      <c r="I100" s="354"/>
      <c r="K100" s="355"/>
      <c r="L100" s="355"/>
      <c r="M100" s="355"/>
      <c r="N100" s="355"/>
      <c r="O100" s="355"/>
      <c r="BK100" s="568" t="s">
        <v>503</v>
      </c>
      <c r="BL100" s="569">
        <v>0.46597222222222223</v>
      </c>
      <c r="BM100" s="570">
        <v>45605</v>
      </c>
      <c r="BN100" s="568">
        <v>114</v>
      </c>
      <c r="BO100" s="568">
        <v>0</v>
      </c>
      <c r="BP100" s="825">
        <f t="shared" si="59"/>
        <v>-9499</v>
      </c>
      <c r="BQ100" s="568">
        <v>7866</v>
      </c>
      <c r="BR100" s="568" t="str">
        <f>+BR99</f>
        <v>CENTRO</v>
      </c>
      <c r="BS100" s="568" t="str">
        <f>+BS99</f>
        <v>CENTRO</v>
      </c>
      <c r="BU100" s="355"/>
      <c r="BW100" s="426">
        <v>0.60277777777777775</v>
      </c>
      <c r="BX100" s="408">
        <v>45468</v>
      </c>
      <c r="BY100" s="385">
        <v>38</v>
      </c>
      <c r="BZ100" s="385">
        <v>10076.4</v>
      </c>
      <c r="CA100" s="407">
        <f t="shared" si="58"/>
        <v>0.15161290322580059</v>
      </c>
      <c r="CB100" s="385">
        <v>4007</v>
      </c>
      <c r="CC100" s="385" t="s">
        <v>406</v>
      </c>
      <c r="CD100" s="385" t="s">
        <v>677</v>
      </c>
      <c r="CH100" s="385"/>
      <c r="CI100" s="408">
        <v>45689</v>
      </c>
      <c r="CJ100" s="385">
        <v>161</v>
      </c>
      <c r="CK100" s="385"/>
      <c r="CL100" s="527">
        <f t="shared" si="52"/>
        <v>-29.442857142857143</v>
      </c>
      <c r="CM100" s="385">
        <v>9020</v>
      </c>
      <c r="CN100" s="385" t="s">
        <v>170</v>
      </c>
      <c r="CO100" s="385" t="s">
        <v>681</v>
      </c>
      <c r="CR100" s="409" t="s">
        <v>623</v>
      </c>
      <c r="CS100" s="451">
        <v>0.72499999999999998</v>
      </c>
      <c r="CT100" s="421">
        <v>46007</v>
      </c>
      <c r="CU100" s="452">
        <v>150</v>
      </c>
      <c r="CV100" s="714">
        <v>7595</v>
      </c>
      <c r="CW100" s="452">
        <f t="shared" si="48"/>
        <v>0</v>
      </c>
      <c r="CX100" s="452">
        <v>11113</v>
      </c>
      <c r="CY100" s="452" t="s">
        <v>87</v>
      </c>
      <c r="CZ100" s="452" t="s">
        <v>146</v>
      </c>
      <c r="DN100" s="442" t="s">
        <v>285</v>
      </c>
      <c r="DO100" s="426">
        <v>0.58611111111111114</v>
      </c>
      <c r="DP100" s="408">
        <v>45889</v>
      </c>
      <c r="DQ100" s="385">
        <v>281</v>
      </c>
      <c r="DR100" s="385">
        <v>2636</v>
      </c>
      <c r="DS100" s="511">
        <f t="shared" si="56"/>
        <v>24</v>
      </c>
      <c r="DT100" s="385">
        <v>10398</v>
      </c>
      <c r="DU100" s="385" t="s">
        <v>61</v>
      </c>
      <c r="DV100" s="385" t="s">
        <v>172</v>
      </c>
      <c r="DY100" s="832">
        <v>0.38263888888888886</v>
      </c>
      <c r="DZ100" s="833">
        <v>46072</v>
      </c>
      <c r="EA100" s="834">
        <v>200</v>
      </c>
      <c r="EB100" s="571">
        <v>2161</v>
      </c>
      <c r="EC100" s="572">
        <f t="shared" si="42"/>
        <v>0</v>
      </c>
      <c r="ED100" s="410">
        <v>441109950</v>
      </c>
      <c r="EE100" s="410" t="s">
        <v>170</v>
      </c>
      <c r="EF100" s="410" t="s">
        <v>75</v>
      </c>
      <c r="EG100" s="348" t="s">
        <v>684</v>
      </c>
      <c r="EW100" s="603" t="s">
        <v>63</v>
      </c>
      <c r="EX100" s="604">
        <v>0.65833333333333333</v>
      </c>
      <c r="EY100" s="605">
        <v>45593</v>
      </c>
      <c r="EZ100" s="603">
        <v>72</v>
      </c>
      <c r="FA100" s="603">
        <v>5197</v>
      </c>
      <c r="FB100" s="589">
        <f t="shared" si="57"/>
        <v>86.61666666666666</v>
      </c>
      <c r="FC100" s="603">
        <v>7012</v>
      </c>
      <c r="FD100" s="603" t="s">
        <v>600</v>
      </c>
      <c r="FE100" s="603" t="s">
        <v>323</v>
      </c>
      <c r="FR100" s="509" t="s">
        <v>288</v>
      </c>
      <c r="FS100" s="426">
        <v>0.5083333333333333</v>
      </c>
      <c r="FT100" s="408">
        <v>46050</v>
      </c>
      <c r="FU100" s="385">
        <v>63</v>
      </c>
      <c r="FV100" s="385">
        <v>3576</v>
      </c>
      <c r="FW100" s="385">
        <f t="shared" si="54"/>
        <v>16</v>
      </c>
      <c r="FX100" s="385">
        <v>10674</v>
      </c>
      <c r="FY100" s="385" t="s">
        <v>675</v>
      </c>
      <c r="FZ100" s="385" t="s">
        <v>676</v>
      </c>
    </row>
    <row r="101" spans="2:183" ht="16.5" thickBot="1" x14ac:dyDescent="0.3">
      <c r="B101" s="354"/>
      <c r="C101" s="354"/>
      <c r="D101" s="354"/>
      <c r="E101" s="354"/>
      <c r="F101" s="354"/>
      <c r="G101" s="354"/>
      <c r="H101" s="354"/>
      <c r="I101" s="354"/>
      <c r="K101" s="355"/>
      <c r="L101" s="355"/>
      <c r="M101" s="355"/>
      <c r="N101" s="355"/>
      <c r="O101" s="355"/>
      <c r="BK101" s="568" t="str">
        <f>+BK100</f>
        <v>EX07</v>
      </c>
      <c r="BL101" s="569">
        <v>0.30972222222222223</v>
      </c>
      <c r="BM101" s="570">
        <v>45609</v>
      </c>
      <c r="BN101" s="568">
        <v>120</v>
      </c>
      <c r="BO101" s="568">
        <v>0</v>
      </c>
      <c r="BP101" s="825">
        <f t="shared" si="59"/>
        <v>0</v>
      </c>
      <c r="BQ101" s="568">
        <v>7889</v>
      </c>
      <c r="BR101" s="568" t="s">
        <v>168</v>
      </c>
      <c r="BS101" s="568" t="str">
        <f t="shared" ref="BS101:BS115" si="60">+BS100</f>
        <v>CENTRO</v>
      </c>
      <c r="BU101" s="355"/>
      <c r="BW101" s="451">
        <v>0.6875</v>
      </c>
      <c r="BX101" s="421">
        <v>45470</v>
      </c>
      <c r="BY101" s="452">
        <v>98</v>
      </c>
      <c r="BZ101" s="452">
        <v>10092</v>
      </c>
      <c r="CA101" s="402">
        <f t="shared" si="58"/>
        <v>0.41052631578948323</v>
      </c>
      <c r="CB101" s="452">
        <v>4018</v>
      </c>
      <c r="CC101" s="452" t="s">
        <v>406</v>
      </c>
      <c r="CD101" s="452" t="s">
        <v>677</v>
      </c>
      <c r="CH101" s="385"/>
      <c r="CI101" s="408">
        <v>45693</v>
      </c>
      <c r="CJ101" s="385">
        <v>140</v>
      </c>
      <c r="CK101" s="385">
        <v>2100</v>
      </c>
      <c r="CL101" s="527">
        <f t="shared" si="52"/>
        <v>13.043478260869565</v>
      </c>
      <c r="CM101" s="385">
        <v>9035</v>
      </c>
      <c r="CN101" s="385" t="s">
        <v>170</v>
      </c>
      <c r="CO101" s="385" t="s">
        <v>685</v>
      </c>
      <c r="CR101" s="409" t="s">
        <v>623</v>
      </c>
      <c r="CS101" s="426">
        <v>0.44583333333333336</v>
      </c>
      <c r="CT101" s="408">
        <v>46014</v>
      </c>
      <c r="CU101" s="385">
        <v>216</v>
      </c>
      <c r="CV101" s="539">
        <v>7645</v>
      </c>
      <c r="CW101" s="385">
        <f t="shared" si="48"/>
        <v>50</v>
      </c>
      <c r="CX101" s="385">
        <v>11149</v>
      </c>
      <c r="CY101" s="385" t="s">
        <v>87</v>
      </c>
      <c r="CZ101" s="385" t="s">
        <v>146</v>
      </c>
      <c r="DN101" s="442" t="s">
        <v>285</v>
      </c>
      <c r="DO101" s="451">
        <v>0.50972222222222219</v>
      </c>
      <c r="DP101" s="421">
        <v>45895</v>
      </c>
      <c r="DQ101" s="452">
        <v>294</v>
      </c>
      <c r="DR101" s="452">
        <v>2661</v>
      </c>
      <c r="DS101" s="511">
        <f t="shared" si="56"/>
        <v>25</v>
      </c>
      <c r="DT101" s="452">
        <v>10283</v>
      </c>
      <c r="DU101" s="452" t="s">
        <v>61</v>
      </c>
      <c r="DV101" s="452" t="s">
        <v>172</v>
      </c>
      <c r="DX101" s="442" t="s">
        <v>286</v>
      </c>
      <c r="DY101" s="700">
        <v>0.45694444444444443</v>
      </c>
      <c r="DZ101" s="701">
        <v>46074</v>
      </c>
      <c r="EA101" s="539">
        <v>230</v>
      </c>
      <c r="EB101" s="539">
        <v>2193</v>
      </c>
      <c r="EC101" s="389">
        <f t="shared" si="42"/>
        <v>32</v>
      </c>
      <c r="ED101" s="385">
        <v>9743</v>
      </c>
      <c r="EE101" s="385" t="s">
        <v>170</v>
      </c>
      <c r="EF101" s="385" t="s">
        <v>75</v>
      </c>
      <c r="EW101" s="603" t="s">
        <v>63</v>
      </c>
      <c r="EX101" s="604">
        <v>0.59166666666666667</v>
      </c>
      <c r="EY101" s="605">
        <v>45596</v>
      </c>
      <c r="EZ101" s="603">
        <v>40</v>
      </c>
      <c r="FA101" s="603">
        <v>5208</v>
      </c>
      <c r="FB101" s="589">
        <f t="shared" si="57"/>
        <v>0.15277777777777779</v>
      </c>
      <c r="FC101" s="603">
        <v>7048</v>
      </c>
      <c r="FD101" s="603" t="str">
        <f>+FD100</f>
        <v>Ivan</v>
      </c>
      <c r="FE101" s="603" t="str">
        <f>+FE100</f>
        <v>RDS</v>
      </c>
      <c r="FR101" s="509" t="s">
        <v>288</v>
      </c>
      <c r="FS101" s="426">
        <v>0.77500000000000002</v>
      </c>
      <c r="FT101" s="408">
        <v>46059</v>
      </c>
      <c r="FU101" s="385">
        <v>54</v>
      </c>
      <c r="FV101" s="471">
        <v>3576</v>
      </c>
      <c r="FW101" s="385">
        <f t="shared" si="54"/>
        <v>0</v>
      </c>
      <c r="FX101" s="385">
        <v>10511</v>
      </c>
      <c r="FY101" s="385" t="s">
        <v>406</v>
      </c>
      <c r="FZ101" s="385" t="s">
        <v>383</v>
      </c>
    </row>
    <row r="102" spans="2:183" ht="16.5" thickBot="1" x14ac:dyDescent="0.3">
      <c r="B102" s="354"/>
      <c r="C102" s="354"/>
      <c r="D102" s="354"/>
      <c r="E102" s="354"/>
      <c r="F102" s="354"/>
      <c r="G102" s="354"/>
      <c r="H102" s="354"/>
      <c r="I102" s="354"/>
      <c r="K102" s="355"/>
      <c r="L102" s="355"/>
      <c r="M102" s="355"/>
      <c r="N102" s="355"/>
      <c r="O102" s="355"/>
      <c r="P102" s="348" t="s">
        <v>2</v>
      </c>
      <c r="BK102" s="568" t="str">
        <f>+BK101</f>
        <v>EX07</v>
      </c>
      <c r="BL102" s="569">
        <v>0.35208333333333336</v>
      </c>
      <c r="BM102" s="570">
        <v>45611</v>
      </c>
      <c r="BN102" s="568">
        <v>60</v>
      </c>
      <c r="BO102" s="568">
        <v>12266.6</v>
      </c>
      <c r="BP102" s="825">
        <f t="shared" si="59"/>
        <v>12266.6</v>
      </c>
      <c r="BQ102" s="568">
        <v>6998</v>
      </c>
      <c r="BR102" s="568" t="str">
        <f t="shared" ref="BR102:BS117" si="61">+BR101</f>
        <v>JAVIER</v>
      </c>
      <c r="BS102" s="568" t="str">
        <f t="shared" si="60"/>
        <v>CENTRO</v>
      </c>
      <c r="BU102" s="355"/>
      <c r="BV102" s="743" t="s">
        <v>306</v>
      </c>
      <c r="BW102" s="753">
        <v>0.35625000000000001</v>
      </c>
      <c r="BX102" s="754">
        <v>45474</v>
      </c>
      <c r="BY102" s="755">
        <v>80</v>
      </c>
      <c r="BZ102" s="755">
        <v>10105</v>
      </c>
      <c r="CA102" s="831">
        <f t="shared" si="58"/>
        <v>0.1326530612244898</v>
      </c>
      <c r="CB102" s="755">
        <v>4033</v>
      </c>
      <c r="CC102" s="755" t="s">
        <v>406</v>
      </c>
      <c r="CD102" s="393" t="s">
        <v>677</v>
      </c>
      <c r="CH102" s="426">
        <v>0.66111111111111109</v>
      </c>
      <c r="CI102" s="408">
        <v>45695</v>
      </c>
      <c r="CJ102" s="385">
        <v>142</v>
      </c>
      <c r="CK102" s="385">
        <v>2118</v>
      </c>
      <c r="CL102" s="527">
        <f t="shared" si="52"/>
        <v>0.12857142857142856</v>
      </c>
      <c r="CM102" s="385">
        <v>9114</v>
      </c>
      <c r="CN102" s="385" t="s">
        <v>170</v>
      </c>
      <c r="CO102" s="385" t="s">
        <v>685</v>
      </c>
      <c r="CR102" s="409" t="s">
        <v>623</v>
      </c>
      <c r="CS102" s="426"/>
      <c r="CT102" s="408">
        <v>46385</v>
      </c>
      <c r="CU102" s="385">
        <v>127</v>
      </c>
      <c r="CV102" s="471">
        <v>7645</v>
      </c>
      <c r="CW102" s="385">
        <f t="shared" si="48"/>
        <v>0</v>
      </c>
      <c r="CX102" s="385">
        <v>9965</v>
      </c>
      <c r="CY102" s="385" t="s">
        <v>87</v>
      </c>
      <c r="CZ102" s="385" t="s">
        <v>146</v>
      </c>
      <c r="DN102" s="442" t="s">
        <v>285</v>
      </c>
      <c r="DO102" s="426">
        <v>0.3888888888888889</v>
      </c>
      <c r="DP102" s="408">
        <v>45901</v>
      </c>
      <c r="DQ102" s="385">
        <v>224</v>
      </c>
      <c r="DR102" s="385">
        <v>2680</v>
      </c>
      <c r="DS102" s="511">
        <f t="shared" si="56"/>
        <v>19</v>
      </c>
      <c r="DT102" s="385">
        <v>11417</v>
      </c>
      <c r="DU102" s="385" t="s">
        <v>61</v>
      </c>
      <c r="DV102" s="385" t="s">
        <v>172</v>
      </c>
      <c r="DY102" s="700">
        <v>0.41736111111111113</v>
      </c>
      <c r="DZ102" s="701">
        <v>46076</v>
      </c>
      <c r="EA102" s="539">
        <v>206</v>
      </c>
      <c r="EB102" s="539">
        <v>2198</v>
      </c>
      <c r="EC102" s="389">
        <f t="shared" si="42"/>
        <v>5</v>
      </c>
      <c r="ED102" s="385">
        <v>9745</v>
      </c>
      <c r="EE102" s="385" t="s">
        <v>170</v>
      </c>
      <c r="EF102" s="385" t="s">
        <v>75</v>
      </c>
      <c r="EW102" s="603" t="str">
        <f>+EW101</f>
        <v>R02</v>
      </c>
      <c r="EX102" s="604">
        <v>0.71527777777777779</v>
      </c>
      <c r="EY102" s="605">
        <v>45604</v>
      </c>
      <c r="EZ102" s="603">
        <v>59</v>
      </c>
      <c r="FA102" s="603">
        <v>7851</v>
      </c>
      <c r="FB102" s="589">
        <f t="shared" si="57"/>
        <v>66.075000000000003</v>
      </c>
      <c r="FC102" s="603">
        <v>7851</v>
      </c>
      <c r="FD102" s="603" t="str">
        <f>+FD101</f>
        <v>Ivan</v>
      </c>
      <c r="FE102" s="603" t="str">
        <f>+FE101</f>
        <v>RDS</v>
      </c>
      <c r="FR102" s="509" t="s">
        <v>288</v>
      </c>
      <c r="FS102" s="426">
        <v>0.54861111111111116</v>
      </c>
      <c r="FT102" s="408">
        <v>46063</v>
      </c>
      <c r="FU102" s="385">
        <v>29</v>
      </c>
      <c r="FV102" s="385">
        <v>3593</v>
      </c>
      <c r="FW102" s="385">
        <f t="shared" si="54"/>
        <v>17</v>
      </c>
      <c r="FX102" s="385">
        <v>10534</v>
      </c>
      <c r="FY102" s="385" t="s">
        <v>675</v>
      </c>
      <c r="FZ102" s="385" t="s">
        <v>686</v>
      </c>
    </row>
    <row r="103" spans="2:183" x14ac:dyDescent="0.25">
      <c r="B103" s="354"/>
      <c r="C103" s="354"/>
      <c r="D103" s="354"/>
      <c r="E103" s="354"/>
      <c r="F103" s="354"/>
      <c r="G103" s="354"/>
      <c r="H103" s="354"/>
      <c r="I103" s="354"/>
      <c r="K103" s="657"/>
      <c r="L103" s="657"/>
      <c r="M103" s="657"/>
      <c r="N103" s="657"/>
      <c r="O103" s="657"/>
      <c r="BK103" s="568" t="str">
        <f>+BK102</f>
        <v>EX07</v>
      </c>
      <c r="BL103" s="569">
        <v>0.59722222222222221</v>
      </c>
      <c r="BM103" s="570">
        <v>45616</v>
      </c>
      <c r="BN103" s="568">
        <v>74</v>
      </c>
      <c r="BO103" s="568">
        <v>0</v>
      </c>
      <c r="BP103" s="825">
        <f t="shared" si="59"/>
        <v>-12266.6</v>
      </c>
      <c r="BQ103" s="568">
        <v>7656</v>
      </c>
      <c r="BR103" s="568" t="str">
        <f t="shared" si="61"/>
        <v>JAVIER</v>
      </c>
      <c r="BS103" s="568" t="str">
        <f t="shared" si="60"/>
        <v>CENTRO</v>
      </c>
      <c r="BU103" s="355"/>
      <c r="BW103" s="426">
        <v>0.46944444444444444</v>
      </c>
      <c r="BX103" s="408">
        <v>45476</v>
      </c>
      <c r="BY103" s="385">
        <v>83</v>
      </c>
      <c r="BZ103" s="385">
        <v>10118</v>
      </c>
      <c r="CA103" s="407">
        <f t="shared" si="58"/>
        <v>0.16250000000000001</v>
      </c>
      <c r="CB103" s="385">
        <v>4040</v>
      </c>
      <c r="CC103" s="385" t="s">
        <v>406</v>
      </c>
      <c r="CD103" s="385" t="s">
        <v>677</v>
      </c>
      <c r="CG103" s="442" t="s">
        <v>307</v>
      </c>
      <c r="CH103" s="426">
        <v>0.3125</v>
      </c>
      <c r="CI103" s="408">
        <v>45701</v>
      </c>
      <c r="CJ103" s="385">
        <v>189</v>
      </c>
      <c r="CK103" s="385">
        <v>2145</v>
      </c>
      <c r="CL103" s="527">
        <f t="shared" si="52"/>
        <v>0.19014084507042253</v>
      </c>
      <c r="CM103" s="385">
        <v>9143</v>
      </c>
      <c r="CN103" s="385" t="s">
        <v>406</v>
      </c>
      <c r="CO103" s="385" t="s">
        <v>685</v>
      </c>
      <c r="CS103" s="451">
        <v>0.76041666666666663</v>
      </c>
      <c r="CT103" s="421">
        <v>46386</v>
      </c>
      <c r="CU103" s="452">
        <v>73</v>
      </c>
      <c r="CV103" s="714">
        <v>7645</v>
      </c>
      <c r="CW103" s="452">
        <f t="shared" si="48"/>
        <v>0</v>
      </c>
      <c r="CX103" s="452">
        <v>9969</v>
      </c>
      <c r="CY103" s="452" t="s">
        <v>87</v>
      </c>
      <c r="CZ103" s="452" t="s">
        <v>146</v>
      </c>
      <c r="DO103" s="426">
        <v>0.56944444444444442</v>
      </c>
      <c r="DP103" s="408">
        <v>45904</v>
      </c>
      <c r="DQ103" s="385">
        <v>287</v>
      </c>
      <c r="DR103" s="385">
        <v>2700</v>
      </c>
      <c r="DS103" s="511">
        <f t="shared" si="56"/>
        <v>20</v>
      </c>
      <c r="DT103" s="385">
        <v>11443</v>
      </c>
      <c r="DU103" s="385" t="s">
        <v>61</v>
      </c>
      <c r="DV103" s="385" t="s">
        <v>172</v>
      </c>
      <c r="DY103" s="700">
        <v>0.375</v>
      </c>
      <c r="DZ103" s="701">
        <v>46079</v>
      </c>
      <c r="EA103" s="539">
        <v>329</v>
      </c>
      <c r="EB103" s="539">
        <v>2221</v>
      </c>
      <c r="EC103" s="389">
        <f t="shared" si="42"/>
        <v>23</v>
      </c>
      <c r="ED103" s="385">
        <v>13318</v>
      </c>
      <c r="EE103" s="385" t="s">
        <v>170</v>
      </c>
      <c r="EF103" s="385" t="s">
        <v>75</v>
      </c>
      <c r="EW103" s="603" t="s">
        <v>63</v>
      </c>
      <c r="EX103" s="604">
        <v>0.63888888888888884</v>
      </c>
      <c r="EY103" s="605">
        <v>45615</v>
      </c>
      <c r="EZ103" s="603">
        <v>83</v>
      </c>
      <c r="FA103" s="603">
        <v>5252</v>
      </c>
      <c r="FB103" s="589">
        <f t="shared" si="57"/>
        <v>-44.050847457627121</v>
      </c>
      <c r="FC103" s="603">
        <v>7646</v>
      </c>
      <c r="FD103" s="603"/>
      <c r="FE103" s="603" t="str">
        <f>+FE102</f>
        <v>RDS</v>
      </c>
      <c r="FR103" s="509" t="s">
        <v>288</v>
      </c>
      <c r="FS103" s="426">
        <v>0.41180555555555554</v>
      </c>
      <c r="FT103" s="408">
        <v>46072</v>
      </c>
      <c r="FU103" s="385">
        <v>70</v>
      </c>
      <c r="FV103" s="385">
        <v>3593</v>
      </c>
      <c r="FW103" s="385">
        <f t="shared" si="54"/>
        <v>0</v>
      </c>
      <c r="FX103" s="385">
        <v>9710</v>
      </c>
      <c r="FY103" s="385" t="s">
        <v>83</v>
      </c>
      <c r="FZ103" s="385" t="s">
        <v>686</v>
      </c>
    </row>
    <row r="104" spans="2:183" ht="16.5" thickBot="1" x14ac:dyDescent="0.3">
      <c r="B104" s="354"/>
      <c r="C104" s="354"/>
      <c r="D104" s="354"/>
      <c r="E104" s="354"/>
      <c r="F104" s="354"/>
      <c r="G104" s="354"/>
      <c r="H104" s="354"/>
      <c r="I104" s="354"/>
      <c r="K104" s="355"/>
      <c r="L104" s="355"/>
      <c r="M104" s="355"/>
      <c r="N104" s="355"/>
      <c r="O104" s="355"/>
      <c r="BK104" s="568" t="s">
        <v>503</v>
      </c>
      <c r="BL104" s="569">
        <v>0.67847222222222225</v>
      </c>
      <c r="BM104" s="570">
        <v>45617</v>
      </c>
      <c r="BN104" s="568">
        <v>91</v>
      </c>
      <c r="BO104" s="568">
        <v>9561</v>
      </c>
      <c r="BP104" s="825">
        <f t="shared" si="59"/>
        <v>9561</v>
      </c>
      <c r="BQ104" s="568">
        <v>7669</v>
      </c>
      <c r="BR104" s="568" t="str">
        <f t="shared" si="61"/>
        <v>JAVIER</v>
      </c>
      <c r="BS104" s="568" t="str">
        <f t="shared" si="60"/>
        <v>CENTRO</v>
      </c>
      <c r="BU104" s="355"/>
      <c r="BW104" s="451"/>
      <c r="BX104" s="421">
        <v>45478</v>
      </c>
      <c r="BY104" s="452">
        <v>108</v>
      </c>
      <c r="BZ104" s="452"/>
      <c r="CA104" s="402">
        <f t="shared" si="58"/>
        <v>-121.90361445783132</v>
      </c>
      <c r="CB104" s="452">
        <v>4067</v>
      </c>
      <c r="CC104" s="452" t="s">
        <v>406</v>
      </c>
      <c r="CD104" s="452" t="s">
        <v>677</v>
      </c>
      <c r="CG104" s="442" t="s">
        <v>307</v>
      </c>
      <c r="CH104" s="426">
        <v>0.44027777777777777</v>
      </c>
      <c r="CI104" s="408">
        <v>45705</v>
      </c>
      <c r="CJ104" s="385">
        <v>143</v>
      </c>
      <c r="CK104" s="385">
        <v>2172</v>
      </c>
      <c r="CL104" s="527">
        <f t="shared" si="52"/>
        <v>0.14285714285714285</v>
      </c>
      <c r="CM104" s="385">
        <v>15124</v>
      </c>
      <c r="CN104" s="385" t="s">
        <v>406</v>
      </c>
      <c r="CO104" s="385" t="s">
        <v>685</v>
      </c>
      <c r="CR104" s="409" t="s">
        <v>623</v>
      </c>
      <c r="CS104" s="426">
        <v>0.33611111111111114</v>
      </c>
      <c r="CT104" s="408">
        <v>46028</v>
      </c>
      <c r="CU104" s="385">
        <v>156</v>
      </c>
      <c r="CV104" s="471">
        <v>7645</v>
      </c>
      <c r="CW104" s="385">
        <f t="shared" si="48"/>
        <v>0</v>
      </c>
      <c r="CX104" s="385">
        <v>9991</v>
      </c>
      <c r="CY104" s="385" t="s">
        <v>87</v>
      </c>
      <c r="CZ104" s="385" t="s">
        <v>146</v>
      </c>
      <c r="DN104" s="442" t="s">
        <v>285</v>
      </c>
      <c r="DO104" s="451">
        <v>0.5756944444444444</v>
      </c>
      <c r="DP104" s="421">
        <v>45939</v>
      </c>
      <c r="DQ104" s="452">
        <v>192</v>
      </c>
      <c r="DR104" s="452">
        <v>2730</v>
      </c>
      <c r="DS104" s="511">
        <f t="shared" si="56"/>
        <v>30</v>
      </c>
      <c r="DT104" s="452">
        <v>10862</v>
      </c>
      <c r="DU104" s="452" t="s">
        <v>61</v>
      </c>
      <c r="DV104" s="452" t="s">
        <v>172</v>
      </c>
      <c r="DX104" s="442" t="s">
        <v>286</v>
      </c>
      <c r="DY104" s="700">
        <v>0.44444444444444442</v>
      </c>
      <c r="DZ104" s="701">
        <v>46083</v>
      </c>
      <c r="EA104" s="539">
        <v>62</v>
      </c>
      <c r="EB104" s="539">
        <v>2242</v>
      </c>
      <c r="EC104" s="389">
        <f t="shared" si="42"/>
        <v>21</v>
      </c>
      <c r="ED104" s="385">
        <v>11301</v>
      </c>
      <c r="EE104" s="385" t="s">
        <v>170</v>
      </c>
      <c r="EF104" s="385" t="s">
        <v>75</v>
      </c>
      <c r="EW104" s="603" t="s">
        <v>63</v>
      </c>
      <c r="EX104" s="604">
        <v>0.61527777777777781</v>
      </c>
      <c r="EY104" s="605">
        <v>45621</v>
      </c>
      <c r="EZ104" s="603">
        <v>82</v>
      </c>
      <c r="FA104" s="603">
        <v>5278</v>
      </c>
      <c r="FB104" s="589">
        <f t="shared" si="57"/>
        <v>0.31325301204819278</v>
      </c>
      <c r="FC104" s="603">
        <v>7903</v>
      </c>
      <c r="FD104" s="603" t="str">
        <f>+FD102</f>
        <v>Ivan</v>
      </c>
      <c r="FE104" s="603" t="str">
        <f>+FE102</f>
        <v>RDS</v>
      </c>
      <c r="FR104" s="509" t="s">
        <v>288</v>
      </c>
      <c r="FS104" s="426">
        <v>0.71736111111111112</v>
      </c>
      <c r="FT104" s="408">
        <v>46076</v>
      </c>
      <c r="FU104" s="385">
        <v>72</v>
      </c>
      <c r="FV104" s="385">
        <v>3630</v>
      </c>
      <c r="FW104" s="385">
        <f t="shared" si="54"/>
        <v>37</v>
      </c>
      <c r="FX104" s="385">
        <v>13303</v>
      </c>
      <c r="FY104" s="385" t="s">
        <v>83</v>
      </c>
      <c r="FZ104" s="385" t="s">
        <v>686</v>
      </c>
    </row>
    <row r="105" spans="2:183" ht="16.5" thickBot="1" x14ac:dyDescent="0.3">
      <c r="B105" s="354"/>
      <c r="C105" s="354"/>
      <c r="D105" s="354"/>
      <c r="E105" s="354"/>
      <c r="F105" s="354"/>
      <c r="G105" s="354"/>
      <c r="H105" s="354"/>
      <c r="I105" s="354"/>
      <c r="K105" s="355"/>
      <c r="L105" s="355"/>
      <c r="M105" s="355"/>
      <c r="N105" s="355"/>
      <c r="O105" s="355"/>
      <c r="BK105" s="568" t="str">
        <f>+BK104</f>
        <v>EX07</v>
      </c>
      <c r="BL105" s="569">
        <v>0.36805555555555558</v>
      </c>
      <c r="BM105" s="570">
        <v>45619</v>
      </c>
      <c r="BN105" s="568">
        <v>91</v>
      </c>
      <c r="BO105" s="568">
        <v>0</v>
      </c>
      <c r="BP105" s="825">
        <f t="shared" si="59"/>
        <v>-9561</v>
      </c>
      <c r="BQ105" s="568">
        <v>7115</v>
      </c>
      <c r="BR105" s="568" t="str">
        <f t="shared" si="61"/>
        <v>JAVIER</v>
      </c>
      <c r="BS105" s="568" t="str">
        <f t="shared" si="60"/>
        <v>CENTRO</v>
      </c>
      <c r="BU105" s="355"/>
      <c r="BV105" s="743" t="s">
        <v>306</v>
      </c>
      <c r="BW105" s="753">
        <v>0.55208333333333337</v>
      </c>
      <c r="BX105" s="754">
        <v>45481</v>
      </c>
      <c r="BY105" s="755">
        <v>57</v>
      </c>
      <c r="BZ105" s="755">
        <v>10144</v>
      </c>
      <c r="CA105" s="831">
        <f t="shared" si="58"/>
        <v>93.925925925925924</v>
      </c>
      <c r="CB105" s="755">
        <v>4087</v>
      </c>
      <c r="CC105" s="755" t="s">
        <v>406</v>
      </c>
      <c r="CD105" s="393" t="s">
        <v>677</v>
      </c>
      <c r="CH105" s="426">
        <v>0.4284722222222222</v>
      </c>
      <c r="CI105" s="408">
        <v>45707</v>
      </c>
      <c r="CJ105" s="385">
        <v>64</v>
      </c>
      <c r="CK105" s="385">
        <v>2186</v>
      </c>
      <c r="CL105" s="527">
        <f>(CK105-CK104)/CJ104</f>
        <v>9.7902097902097904E-2</v>
      </c>
      <c r="CM105" s="385">
        <v>15146</v>
      </c>
      <c r="CN105" s="385" t="s">
        <v>406</v>
      </c>
      <c r="CO105" s="385" t="s">
        <v>685</v>
      </c>
      <c r="CP105" s="553" t="s">
        <v>148</v>
      </c>
      <c r="CR105" s="409" t="s">
        <v>623</v>
      </c>
      <c r="CS105" s="426">
        <v>0.77152777777777781</v>
      </c>
      <c r="CT105" s="408">
        <v>46036</v>
      </c>
      <c r="CU105" s="385">
        <v>182</v>
      </c>
      <c r="CV105" s="704">
        <v>7719</v>
      </c>
      <c r="CW105" s="385">
        <f t="shared" si="48"/>
        <v>74</v>
      </c>
      <c r="CX105" s="385">
        <v>9943</v>
      </c>
      <c r="CY105" s="385" t="s">
        <v>87</v>
      </c>
      <c r="CZ105" s="385" t="s">
        <v>146</v>
      </c>
      <c r="DN105" s="442" t="s">
        <v>285</v>
      </c>
      <c r="DO105" s="426">
        <v>0.42638888888888887</v>
      </c>
      <c r="DP105" s="408">
        <v>45943</v>
      </c>
      <c r="DQ105" s="385">
        <v>228</v>
      </c>
      <c r="DR105" s="385">
        <v>2746</v>
      </c>
      <c r="DS105" s="511">
        <f t="shared" si="56"/>
        <v>16</v>
      </c>
      <c r="DT105" s="385">
        <v>10870</v>
      </c>
      <c r="DU105" s="385" t="s">
        <v>61</v>
      </c>
      <c r="DV105" s="385" t="s">
        <v>172</v>
      </c>
      <c r="DY105" s="700">
        <v>0.66527777777777775</v>
      </c>
      <c r="DZ105" s="701">
        <v>46083</v>
      </c>
      <c r="EA105" s="539">
        <v>355</v>
      </c>
      <c r="EB105" s="539">
        <v>2246</v>
      </c>
      <c r="EC105" s="389">
        <f t="shared" si="42"/>
        <v>4</v>
      </c>
      <c r="ED105" s="385">
        <v>11303</v>
      </c>
      <c r="EE105" s="385" t="s">
        <v>170</v>
      </c>
      <c r="EF105" s="385" t="s">
        <v>75</v>
      </c>
      <c r="EW105" s="603" t="str">
        <f>+EW104</f>
        <v>R02</v>
      </c>
      <c r="EX105" s="604">
        <v>0.61111111111111116</v>
      </c>
      <c r="EY105" s="605">
        <v>45631</v>
      </c>
      <c r="EZ105" s="603">
        <v>94</v>
      </c>
      <c r="FA105" s="603">
        <v>5306</v>
      </c>
      <c r="FB105" s="589">
        <f t="shared" si="57"/>
        <v>0.34146341463414637</v>
      </c>
      <c r="FC105" s="603">
        <v>7334</v>
      </c>
      <c r="FD105" s="603" t="str">
        <f t="shared" ref="FD105:FE108" si="62">+FD104</f>
        <v>Ivan</v>
      </c>
      <c r="FE105" s="603" t="str">
        <f t="shared" si="62"/>
        <v>RDS</v>
      </c>
      <c r="FR105" s="509" t="s">
        <v>288</v>
      </c>
      <c r="FS105" s="426">
        <v>0.82013888888888886</v>
      </c>
      <c r="FT105" s="408">
        <v>46083</v>
      </c>
      <c r="FU105" s="385">
        <v>100</v>
      </c>
      <c r="FV105" s="385">
        <v>3652</v>
      </c>
      <c r="FW105" s="385">
        <f t="shared" si="54"/>
        <v>22</v>
      </c>
      <c r="FX105" s="385">
        <v>11308</v>
      </c>
      <c r="FY105" s="385" t="s">
        <v>83</v>
      </c>
      <c r="FZ105" s="385" t="s">
        <v>686</v>
      </c>
    </row>
    <row r="106" spans="2:183" ht="16.5" thickBot="1" x14ac:dyDescent="0.3">
      <c r="B106" s="354"/>
      <c r="C106" s="354"/>
      <c r="D106" s="354"/>
      <c r="E106" s="354"/>
      <c r="F106" s="354"/>
      <c r="G106" s="354"/>
      <c r="H106" s="354"/>
      <c r="I106" s="354"/>
      <c r="K106" s="355"/>
      <c r="L106" s="355"/>
      <c r="M106" s="355"/>
      <c r="N106" s="355"/>
      <c r="O106" s="355"/>
      <c r="BK106" s="568" t="str">
        <f>+BK105</f>
        <v>EX07</v>
      </c>
      <c r="BL106" s="569">
        <v>0.24027777777777778</v>
      </c>
      <c r="BM106" s="570">
        <v>45627</v>
      </c>
      <c r="BN106" s="568">
        <v>100</v>
      </c>
      <c r="BO106" s="568">
        <v>0</v>
      </c>
      <c r="BP106" s="825">
        <f t="shared" si="59"/>
        <v>0</v>
      </c>
      <c r="BQ106" s="568">
        <v>7181</v>
      </c>
      <c r="BR106" s="568" t="str">
        <f t="shared" si="61"/>
        <v>JAVIER</v>
      </c>
      <c r="BS106" s="568" t="str">
        <f t="shared" si="60"/>
        <v>CENTRO</v>
      </c>
      <c r="BU106" s="355"/>
      <c r="BW106" s="451">
        <v>0.48749999999999999</v>
      </c>
      <c r="BX106" s="421">
        <v>45483</v>
      </c>
      <c r="BY106" s="452">
        <v>86</v>
      </c>
      <c r="BZ106" s="452">
        <v>10156</v>
      </c>
      <c r="CA106" s="402">
        <f t="shared" si="58"/>
        <v>0.21052631578947367</v>
      </c>
      <c r="CB106" s="452">
        <v>8537</v>
      </c>
      <c r="CC106" s="452" t="s">
        <v>406</v>
      </c>
      <c r="CD106" s="676" t="s">
        <v>677</v>
      </c>
      <c r="CG106" s="442" t="s">
        <v>307</v>
      </c>
      <c r="CH106" s="451">
        <v>0.33333333333333331</v>
      </c>
      <c r="CI106" s="421">
        <v>45712</v>
      </c>
      <c r="CJ106" s="452">
        <v>124</v>
      </c>
      <c r="CK106" s="452">
        <v>2206</v>
      </c>
      <c r="CL106" s="527">
        <f>(CK106-CK105)/CJ105</f>
        <v>0.3125</v>
      </c>
      <c r="CM106" s="452">
        <v>15076</v>
      </c>
      <c r="CN106" s="452" t="s">
        <v>406</v>
      </c>
      <c r="CO106" s="452" t="s">
        <v>687</v>
      </c>
      <c r="CR106" s="409" t="s">
        <v>623</v>
      </c>
      <c r="CS106" s="426">
        <v>0.71875</v>
      </c>
      <c r="CT106" s="408">
        <v>46041</v>
      </c>
      <c r="CU106" s="385">
        <v>138</v>
      </c>
      <c r="CV106" s="471">
        <v>7719</v>
      </c>
      <c r="CW106" s="385">
        <f t="shared" si="48"/>
        <v>0</v>
      </c>
      <c r="CX106" s="385">
        <v>10623</v>
      </c>
      <c r="CY106" s="385" t="s">
        <v>87</v>
      </c>
      <c r="CZ106" s="385" t="s">
        <v>146</v>
      </c>
      <c r="DO106" s="451">
        <v>0.60416666666666663</v>
      </c>
      <c r="DP106" s="421">
        <v>45946</v>
      </c>
      <c r="DQ106" s="452">
        <v>252</v>
      </c>
      <c r="DR106" s="452">
        <v>2765</v>
      </c>
      <c r="DS106" s="511">
        <f t="shared" si="56"/>
        <v>19</v>
      </c>
      <c r="DT106" s="452">
        <v>10891</v>
      </c>
      <c r="DU106" s="452" t="s">
        <v>61</v>
      </c>
      <c r="DV106" s="452" t="s">
        <v>172</v>
      </c>
      <c r="DY106" s="430">
        <v>0.66527777777777775</v>
      </c>
      <c r="DZ106" s="835">
        <v>46086</v>
      </c>
      <c r="EA106" s="386">
        <v>354</v>
      </c>
      <c r="EB106" s="386">
        <v>2269</v>
      </c>
      <c r="EC106" s="527">
        <f t="shared" si="42"/>
        <v>23</v>
      </c>
      <c r="ED106" s="452">
        <v>11329</v>
      </c>
      <c r="EE106" s="452" t="s">
        <v>170</v>
      </c>
      <c r="EF106" s="452" t="s">
        <v>75</v>
      </c>
      <c r="EW106" s="568" t="s">
        <v>63</v>
      </c>
      <c r="EX106" s="569">
        <v>0.45763888888888887</v>
      </c>
      <c r="EY106" s="570">
        <v>45638</v>
      </c>
      <c r="EZ106" s="568">
        <v>37</v>
      </c>
      <c r="FA106" s="568">
        <v>5314</v>
      </c>
      <c r="FB106" s="549">
        <f t="shared" si="57"/>
        <v>8.5106382978723402E-2</v>
      </c>
      <c r="FC106" s="568">
        <v>7368</v>
      </c>
      <c r="FD106" s="568" t="str">
        <f t="shared" si="62"/>
        <v>Ivan</v>
      </c>
      <c r="FE106" s="568" t="str">
        <f t="shared" si="62"/>
        <v>RDS</v>
      </c>
      <c r="FS106" s="426">
        <v>0.55902777777777779</v>
      </c>
      <c r="FT106" s="408">
        <v>46086</v>
      </c>
      <c r="FU106" s="385">
        <v>27</v>
      </c>
      <c r="FV106" s="471">
        <v>3652</v>
      </c>
      <c r="FW106" s="385">
        <f t="shared" si="54"/>
        <v>0</v>
      </c>
      <c r="FX106" s="385">
        <v>11328</v>
      </c>
      <c r="FY106" s="385" t="s">
        <v>83</v>
      </c>
      <c r="FZ106" s="385" t="s">
        <v>175</v>
      </c>
    </row>
    <row r="107" spans="2:183" ht="16.5" thickBot="1" x14ac:dyDescent="0.3">
      <c r="B107" s="354"/>
      <c r="C107" s="354"/>
      <c r="D107" s="354"/>
      <c r="E107" s="354"/>
      <c r="F107" s="354"/>
      <c r="G107" s="354"/>
      <c r="H107" s="354"/>
      <c r="I107" s="354"/>
      <c r="K107" s="355"/>
      <c r="L107" s="355"/>
      <c r="M107" s="355"/>
      <c r="N107" s="355"/>
      <c r="O107" s="355"/>
      <c r="BK107" s="568" t="str">
        <f>+BK106</f>
        <v>EX07</v>
      </c>
      <c r="BL107" s="569">
        <v>0.53680555555555554</v>
      </c>
      <c r="BM107" s="570">
        <v>45631</v>
      </c>
      <c r="BN107" s="568">
        <v>85</v>
      </c>
      <c r="BO107" s="568">
        <v>9595</v>
      </c>
      <c r="BP107" s="825">
        <f t="shared" si="59"/>
        <v>9595</v>
      </c>
      <c r="BQ107" s="568">
        <v>7333</v>
      </c>
      <c r="BR107" s="568" t="str">
        <f t="shared" si="61"/>
        <v>JAVIER</v>
      </c>
      <c r="BS107" s="568" t="str">
        <f t="shared" si="60"/>
        <v>CENTRO</v>
      </c>
      <c r="BU107" s="355"/>
      <c r="BV107" s="743" t="s">
        <v>306</v>
      </c>
      <c r="BW107" s="426"/>
      <c r="BX107" s="408">
        <v>45488</v>
      </c>
      <c r="BY107" s="385">
        <v>79</v>
      </c>
      <c r="BZ107" s="385">
        <v>10179</v>
      </c>
      <c r="CA107" s="407">
        <f t="shared" si="58"/>
        <v>0.26744186046511625</v>
      </c>
      <c r="CB107" s="385">
        <v>7838</v>
      </c>
      <c r="CC107" s="385" t="s">
        <v>406</v>
      </c>
      <c r="CD107" s="393" t="s">
        <v>677</v>
      </c>
      <c r="CH107" s="451"/>
      <c r="CI107" s="421">
        <v>45715</v>
      </c>
      <c r="CJ107" s="452">
        <v>138</v>
      </c>
      <c r="CK107" s="452">
        <v>2234</v>
      </c>
      <c r="CL107" s="527">
        <f>(CK107-CK106)/CJ106</f>
        <v>0.22580645161290322</v>
      </c>
      <c r="CM107" s="452">
        <v>15097</v>
      </c>
      <c r="CN107" s="452" t="s">
        <v>406</v>
      </c>
      <c r="CO107" s="452" t="s">
        <v>687</v>
      </c>
      <c r="CR107" s="409" t="s">
        <v>623</v>
      </c>
      <c r="CS107" s="426">
        <v>0.23194444444444445</v>
      </c>
      <c r="CT107" s="408">
        <v>46051</v>
      </c>
      <c r="CU107" s="385">
        <v>78</v>
      </c>
      <c r="CV107" s="471">
        <v>7719</v>
      </c>
      <c r="CW107" s="385">
        <f t="shared" si="48"/>
        <v>0</v>
      </c>
      <c r="CX107" s="385">
        <v>10682</v>
      </c>
      <c r="CY107" s="385" t="s">
        <v>591</v>
      </c>
      <c r="CZ107" s="385" t="s">
        <v>146</v>
      </c>
      <c r="DN107" s="442" t="s">
        <v>285</v>
      </c>
      <c r="DO107" s="426">
        <v>0.28958333333333336</v>
      </c>
      <c r="DP107" s="408">
        <v>45951</v>
      </c>
      <c r="DQ107" s="385">
        <v>256</v>
      </c>
      <c r="DR107" s="385">
        <v>2787</v>
      </c>
      <c r="DS107" s="511">
        <f t="shared" si="56"/>
        <v>22</v>
      </c>
      <c r="DT107" s="385">
        <v>11560</v>
      </c>
      <c r="DU107" s="385" t="s">
        <v>61</v>
      </c>
      <c r="DV107" s="385" t="s">
        <v>172</v>
      </c>
      <c r="DW107" s="428" t="s">
        <v>325</v>
      </c>
      <c r="DX107" s="442" t="s">
        <v>286</v>
      </c>
      <c r="DY107" s="700">
        <v>0.46736111111111112</v>
      </c>
      <c r="DZ107" s="701">
        <v>46091</v>
      </c>
      <c r="EA107" s="539">
        <v>347</v>
      </c>
      <c r="EB107" s="539">
        <v>2291</v>
      </c>
      <c r="EC107" s="389">
        <f t="shared" si="42"/>
        <v>22</v>
      </c>
      <c r="ED107" s="385">
        <v>11752</v>
      </c>
      <c r="EE107" s="385" t="s">
        <v>170</v>
      </c>
      <c r="EF107" s="385" t="s">
        <v>75</v>
      </c>
      <c r="EW107" s="568" t="str">
        <f>+EW106</f>
        <v>R02</v>
      </c>
      <c r="EX107" s="569">
        <v>0.46527777777777779</v>
      </c>
      <c r="EY107" s="570">
        <v>45638</v>
      </c>
      <c r="EZ107" s="568">
        <v>111</v>
      </c>
      <c r="FA107" s="568">
        <v>0</v>
      </c>
      <c r="FB107" s="549">
        <f t="shared" si="57"/>
        <v>-143.62162162162161</v>
      </c>
      <c r="FC107" s="568">
        <v>7246</v>
      </c>
      <c r="FD107" s="568" t="str">
        <f t="shared" si="62"/>
        <v>Ivan</v>
      </c>
      <c r="FE107" s="568" t="str">
        <f t="shared" si="62"/>
        <v>RDS</v>
      </c>
      <c r="FR107" s="509" t="s">
        <v>288</v>
      </c>
      <c r="FS107" s="426">
        <v>0.83819444444444446</v>
      </c>
      <c r="FT107" s="408">
        <v>46092</v>
      </c>
      <c r="FU107" s="385">
        <v>37</v>
      </c>
      <c r="FV107" s="471">
        <v>3652</v>
      </c>
      <c r="FW107" s="385">
        <f t="shared" si="54"/>
        <v>0</v>
      </c>
      <c r="FX107" s="385">
        <v>11756</v>
      </c>
      <c r="FY107" s="385" t="s">
        <v>83</v>
      </c>
      <c r="FZ107" s="385" t="s">
        <v>686</v>
      </c>
    </row>
    <row r="108" spans="2:183" x14ac:dyDescent="0.25">
      <c r="B108" s="354"/>
      <c r="C108" s="354"/>
      <c r="D108" s="354"/>
      <c r="E108" s="354"/>
      <c r="F108" s="354"/>
      <c r="G108" s="354"/>
      <c r="H108" s="354"/>
      <c r="I108" s="354"/>
      <c r="K108" s="657"/>
      <c r="L108" s="657"/>
      <c r="M108" s="657"/>
      <c r="N108" s="657"/>
      <c r="O108" s="657"/>
      <c r="BK108" s="568" t="s">
        <v>503</v>
      </c>
      <c r="BL108" s="569">
        <v>0.5</v>
      </c>
      <c r="BM108" s="570">
        <v>45635</v>
      </c>
      <c r="BN108" s="568">
        <v>150</v>
      </c>
      <c r="BO108" s="568">
        <v>9607</v>
      </c>
      <c r="BP108" s="825">
        <f t="shared" si="59"/>
        <v>12</v>
      </c>
      <c r="BQ108" s="568">
        <v>7341</v>
      </c>
      <c r="BR108" s="568" t="str">
        <f t="shared" si="61"/>
        <v>JAVIER</v>
      </c>
      <c r="BS108" s="568" t="str">
        <f t="shared" si="60"/>
        <v>CENTRO</v>
      </c>
      <c r="BU108" s="355"/>
      <c r="BW108" s="426"/>
      <c r="BX108" s="408">
        <v>45490</v>
      </c>
      <c r="BY108" s="385">
        <v>80</v>
      </c>
      <c r="BZ108" s="385"/>
      <c r="CA108" s="407">
        <f t="shared" si="58"/>
        <v>-128.84810126582278</v>
      </c>
      <c r="CB108" s="385">
        <v>8931</v>
      </c>
      <c r="CC108" s="385" t="s">
        <v>406</v>
      </c>
      <c r="CD108" s="393" t="s">
        <v>677</v>
      </c>
      <c r="CE108" s="553" t="s">
        <v>688</v>
      </c>
      <c r="CG108" s="442" t="s">
        <v>307</v>
      </c>
      <c r="CH108" s="426">
        <v>0.33333333333333331</v>
      </c>
      <c r="CI108" s="408">
        <v>45719</v>
      </c>
      <c r="CJ108" s="385">
        <v>106</v>
      </c>
      <c r="CK108" s="385">
        <v>2252</v>
      </c>
      <c r="CL108" s="527">
        <f>CK108-CK107</f>
        <v>18</v>
      </c>
      <c r="CM108" s="385">
        <v>14065</v>
      </c>
      <c r="CN108" s="385" t="s">
        <v>406</v>
      </c>
      <c r="CO108" s="385" t="s">
        <v>687</v>
      </c>
      <c r="CP108" s="829" t="s">
        <v>325</v>
      </c>
      <c r="CQ108" s="441"/>
      <c r="CR108" s="409" t="s">
        <v>623</v>
      </c>
      <c r="CS108" s="426">
        <v>0.55902777777777779</v>
      </c>
      <c r="CT108" s="408">
        <v>46056</v>
      </c>
      <c r="CU108" s="385">
        <v>215</v>
      </c>
      <c r="CV108" s="539">
        <v>7763</v>
      </c>
      <c r="CW108" s="385">
        <f t="shared" si="48"/>
        <v>44</v>
      </c>
      <c r="CX108" s="385">
        <v>10407</v>
      </c>
      <c r="CY108" s="385" t="s">
        <v>591</v>
      </c>
      <c r="CZ108" s="385" t="s">
        <v>146</v>
      </c>
      <c r="DO108" s="451">
        <v>0.59236111111111112</v>
      </c>
      <c r="DP108" s="421">
        <v>45953</v>
      </c>
      <c r="DQ108" s="452">
        <v>164</v>
      </c>
      <c r="DR108" s="452">
        <v>2808</v>
      </c>
      <c r="DS108" s="511">
        <f t="shared" si="56"/>
        <v>21</v>
      </c>
      <c r="DT108" s="452">
        <v>11576</v>
      </c>
      <c r="DU108" s="452" t="s">
        <v>61</v>
      </c>
      <c r="DV108" s="452" t="s">
        <v>172</v>
      </c>
      <c r="DY108" s="700">
        <v>0.54374999999999996</v>
      </c>
      <c r="DZ108" s="701">
        <v>46094</v>
      </c>
      <c r="EA108" s="539">
        <v>341</v>
      </c>
      <c r="EB108" s="539">
        <v>2313</v>
      </c>
      <c r="EC108" s="389">
        <f t="shared" si="42"/>
        <v>22</v>
      </c>
      <c r="ED108" s="385">
        <v>11768</v>
      </c>
      <c r="EE108" s="385" t="s">
        <v>308</v>
      </c>
      <c r="EF108" s="385" t="s">
        <v>75</v>
      </c>
      <c r="EW108" s="568" t="s">
        <v>63</v>
      </c>
      <c r="EX108" s="569">
        <v>0.77083333333333337</v>
      </c>
      <c r="EY108" s="570">
        <v>45646</v>
      </c>
      <c r="EZ108" s="568">
        <v>83</v>
      </c>
      <c r="FA108" s="568">
        <v>0</v>
      </c>
      <c r="FB108" s="549">
        <f t="shared" si="57"/>
        <v>0</v>
      </c>
      <c r="FC108" s="568">
        <v>9088</v>
      </c>
      <c r="FD108" s="568" t="str">
        <f t="shared" si="62"/>
        <v>Ivan</v>
      </c>
      <c r="FE108" s="568" t="str">
        <f t="shared" si="62"/>
        <v>RDS</v>
      </c>
      <c r="FR108" s="509" t="s">
        <v>288</v>
      </c>
      <c r="FS108" s="491">
        <v>0.60277777777777775</v>
      </c>
      <c r="FT108" s="513">
        <v>46100</v>
      </c>
      <c r="FU108" s="469">
        <v>102</v>
      </c>
      <c r="FV108" s="515">
        <v>3652</v>
      </c>
      <c r="FW108" s="469">
        <f t="shared" si="54"/>
        <v>0</v>
      </c>
      <c r="FX108" s="469">
        <v>12771</v>
      </c>
      <c r="FY108" s="469" t="s">
        <v>83</v>
      </c>
      <c r="FZ108" s="469" t="s">
        <v>638</v>
      </c>
      <c r="GA108" s="348" t="s">
        <v>689</v>
      </c>
    </row>
    <row r="109" spans="2:183" ht="16.5" thickBot="1" x14ac:dyDescent="0.3">
      <c r="B109" s="354"/>
      <c r="C109" s="354"/>
      <c r="D109" s="354"/>
      <c r="E109" s="354"/>
      <c r="F109" s="354"/>
      <c r="G109" s="354"/>
      <c r="H109" s="354"/>
      <c r="I109" s="354"/>
      <c r="K109" s="355"/>
      <c r="L109" s="355"/>
      <c r="M109" s="355"/>
      <c r="N109" s="355"/>
      <c r="O109" s="355"/>
      <c r="BK109" s="568" t="s">
        <v>503</v>
      </c>
      <c r="BL109" s="569">
        <v>0.375</v>
      </c>
      <c r="BM109" s="570">
        <v>45637</v>
      </c>
      <c r="BN109" s="568">
        <v>80</v>
      </c>
      <c r="BO109" s="568">
        <v>9619</v>
      </c>
      <c r="BP109" s="825">
        <f t="shared" si="59"/>
        <v>12</v>
      </c>
      <c r="BQ109" s="568">
        <v>7359</v>
      </c>
      <c r="BR109" s="568" t="str">
        <f t="shared" si="61"/>
        <v>JAVIER</v>
      </c>
      <c r="BS109" s="568" t="str">
        <f t="shared" si="60"/>
        <v>CENTRO</v>
      </c>
      <c r="BU109" s="355"/>
      <c r="BW109" s="451">
        <v>0.44861111111111113</v>
      </c>
      <c r="BX109" s="421">
        <v>45492</v>
      </c>
      <c r="BY109" s="452">
        <v>80</v>
      </c>
      <c r="BZ109" s="452">
        <v>10205</v>
      </c>
      <c r="CA109" s="402">
        <f t="shared" si="58"/>
        <v>127.5625</v>
      </c>
      <c r="CB109" s="452">
        <v>8616</v>
      </c>
      <c r="CC109" s="452" t="s">
        <v>406</v>
      </c>
      <c r="CD109" s="676" t="s">
        <v>677</v>
      </c>
      <c r="CG109" s="442" t="s">
        <v>307</v>
      </c>
      <c r="CH109" s="451">
        <v>0.41666666666666669</v>
      </c>
      <c r="CI109" s="421">
        <v>45726</v>
      </c>
      <c r="CJ109" s="452">
        <v>135</v>
      </c>
      <c r="CK109" s="452">
        <v>2298</v>
      </c>
      <c r="CL109" s="527">
        <f t="shared" ref="CL109:CL172" si="63">CK109-CK108</f>
        <v>46</v>
      </c>
      <c r="CM109" s="452">
        <v>7418</v>
      </c>
      <c r="CN109" s="452" t="s">
        <v>406</v>
      </c>
      <c r="CO109" s="452" t="s">
        <v>687</v>
      </c>
      <c r="CS109" s="426">
        <v>0.67013888888888884</v>
      </c>
      <c r="CT109" s="408">
        <v>46059</v>
      </c>
      <c r="CU109" s="385">
        <v>177</v>
      </c>
      <c r="CV109" s="539">
        <v>7780</v>
      </c>
      <c r="CW109" s="385">
        <f t="shared" si="48"/>
        <v>17</v>
      </c>
      <c r="CX109" s="385">
        <v>10507</v>
      </c>
      <c r="CY109" s="385" t="s">
        <v>591</v>
      </c>
      <c r="CZ109" s="385" t="s">
        <v>146</v>
      </c>
      <c r="DN109" s="442" t="s">
        <v>285</v>
      </c>
      <c r="DO109" s="426">
        <v>0.31597222222222221</v>
      </c>
      <c r="DP109" s="408">
        <v>45957</v>
      </c>
      <c r="DQ109" s="385">
        <v>122</v>
      </c>
      <c r="DR109" s="385">
        <v>2827</v>
      </c>
      <c r="DS109" s="511">
        <f t="shared" si="56"/>
        <v>19</v>
      </c>
      <c r="DT109" s="385">
        <v>11597</v>
      </c>
      <c r="DU109" s="385" t="s">
        <v>61</v>
      </c>
      <c r="DV109" s="385" t="s">
        <v>172</v>
      </c>
      <c r="DX109" s="442" t="s">
        <v>286</v>
      </c>
      <c r="DY109" s="724">
        <v>0.38750000000000001</v>
      </c>
      <c r="DZ109" s="725">
        <v>46095</v>
      </c>
      <c r="EA109" s="540">
        <v>150</v>
      </c>
      <c r="EB109" s="540">
        <v>2323</v>
      </c>
      <c r="EC109" s="516">
        <f t="shared" si="42"/>
        <v>10</v>
      </c>
      <c r="ED109" s="469">
        <v>11786</v>
      </c>
      <c r="EE109" s="469" t="s">
        <v>308</v>
      </c>
      <c r="EF109" s="469" t="s">
        <v>75</v>
      </c>
      <c r="EW109" s="568" t="str">
        <f>+EW108</f>
        <v>R02</v>
      </c>
      <c r="EX109" s="569">
        <v>0.4375</v>
      </c>
      <c r="EY109" s="570">
        <v>45653</v>
      </c>
      <c r="EZ109" s="568">
        <v>74</v>
      </c>
      <c r="FA109" s="568">
        <v>5350</v>
      </c>
      <c r="FB109" s="549">
        <f t="shared" si="57"/>
        <v>64.4578313253012</v>
      </c>
      <c r="FC109" s="568">
        <v>9177</v>
      </c>
      <c r="FD109" s="568" t="str">
        <f>+FD108</f>
        <v>Ivan</v>
      </c>
      <c r="FE109" s="568" t="s">
        <v>690</v>
      </c>
    </row>
    <row r="110" spans="2:183" ht="16.5" thickBot="1" x14ac:dyDescent="0.3">
      <c r="B110" s="354"/>
      <c r="C110" s="354"/>
      <c r="D110" s="354"/>
      <c r="E110" s="354"/>
      <c r="F110" s="354"/>
      <c r="G110" s="354"/>
      <c r="H110" s="354"/>
      <c r="I110" s="354"/>
      <c r="K110" s="657"/>
      <c r="L110" s="657"/>
      <c r="M110" s="657"/>
      <c r="N110" s="657"/>
      <c r="O110" s="657"/>
      <c r="BK110" s="568" t="s">
        <v>503</v>
      </c>
      <c r="BL110" s="569">
        <v>0.22152777777777777</v>
      </c>
      <c r="BM110" s="570">
        <v>45639</v>
      </c>
      <c r="BN110" s="568">
        <v>105</v>
      </c>
      <c r="BO110" s="568">
        <v>9633</v>
      </c>
      <c r="BP110" s="825">
        <f t="shared" si="59"/>
        <v>14</v>
      </c>
      <c r="BQ110" s="568">
        <v>7370</v>
      </c>
      <c r="BR110" s="568" t="str">
        <f t="shared" si="61"/>
        <v>JAVIER</v>
      </c>
      <c r="BS110" s="568" t="str">
        <f t="shared" si="60"/>
        <v>CENTRO</v>
      </c>
      <c r="BU110" s="355"/>
      <c r="BV110" s="743" t="s">
        <v>306</v>
      </c>
      <c r="BW110" s="426">
        <v>0.47638888888888886</v>
      </c>
      <c r="BX110" s="408">
        <v>45497</v>
      </c>
      <c r="BY110" s="385">
        <v>86</v>
      </c>
      <c r="BZ110" s="385">
        <v>10221</v>
      </c>
      <c r="CA110" s="407">
        <f t="shared" si="58"/>
        <v>0.2</v>
      </c>
      <c r="CB110" s="385">
        <v>8666</v>
      </c>
      <c r="CC110" s="385" t="s">
        <v>406</v>
      </c>
      <c r="CD110" s="393" t="s">
        <v>677</v>
      </c>
      <c r="CH110" s="451">
        <v>0.4548611111111111</v>
      </c>
      <c r="CI110" s="421">
        <v>45729</v>
      </c>
      <c r="CJ110" s="452">
        <v>129</v>
      </c>
      <c r="CK110" s="452">
        <v>2323</v>
      </c>
      <c r="CL110" s="527">
        <f t="shared" si="63"/>
        <v>25</v>
      </c>
      <c r="CM110" s="452">
        <v>12202</v>
      </c>
      <c r="CN110" s="452" t="s">
        <v>406</v>
      </c>
      <c r="CO110" s="452" t="s">
        <v>687</v>
      </c>
      <c r="CR110" s="409" t="s">
        <v>623</v>
      </c>
      <c r="CS110" s="426">
        <v>0.51458333333333328</v>
      </c>
      <c r="CT110" s="408">
        <v>46066</v>
      </c>
      <c r="CU110" s="385">
        <v>240</v>
      </c>
      <c r="CV110" s="539">
        <v>7811</v>
      </c>
      <c r="CW110" s="385">
        <f t="shared" si="48"/>
        <v>31</v>
      </c>
      <c r="CX110" s="385">
        <v>10460</v>
      </c>
      <c r="CY110" s="385" t="s">
        <v>591</v>
      </c>
      <c r="CZ110" s="385" t="s">
        <v>146</v>
      </c>
      <c r="DO110" s="451">
        <v>0.58263888888888893</v>
      </c>
      <c r="DP110" s="421">
        <v>45961</v>
      </c>
      <c r="DQ110" s="452">
        <v>251</v>
      </c>
      <c r="DR110" s="452">
        <v>2856</v>
      </c>
      <c r="DS110" s="511">
        <f t="shared" si="56"/>
        <v>29</v>
      </c>
      <c r="DT110" s="452">
        <v>9478</v>
      </c>
      <c r="DU110" s="452" t="s">
        <v>61</v>
      </c>
      <c r="DV110" s="452" t="s">
        <v>172</v>
      </c>
      <c r="DY110" s="724">
        <v>0.37847222222222221</v>
      </c>
      <c r="DZ110" s="725">
        <v>46100</v>
      </c>
      <c r="EA110" s="540">
        <v>305</v>
      </c>
      <c r="EB110" s="540">
        <v>2338</v>
      </c>
      <c r="EC110" s="516">
        <f t="shared" si="42"/>
        <v>15</v>
      </c>
      <c r="ED110" s="469">
        <v>12766</v>
      </c>
      <c r="EE110" s="469" t="s">
        <v>308</v>
      </c>
      <c r="EF110" s="469" t="s">
        <v>75</v>
      </c>
      <c r="EW110" s="568" t="s">
        <v>63</v>
      </c>
      <c r="EX110" s="569">
        <v>0.41458333333333336</v>
      </c>
      <c r="EY110" s="570">
        <v>46021</v>
      </c>
      <c r="EZ110" s="568">
        <v>31</v>
      </c>
      <c r="FA110" s="568">
        <v>5359</v>
      </c>
      <c r="FB110" s="549">
        <f t="shared" si="57"/>
        <v>0.12162162162162163</v>
      </c>
      <c r="FC110" s="568">
        <v>9192</v>
      </c>
      <c r="FD110" s="568" t="str">
        <f>+FD109</f>
        <v>Ivan</v>
      </c>
      <c r="FE110" s="568" t="str">
        <f>+FE109</f>
        <v>CASA BLANCA</v>
      </c>
    </row>
    <row r="111" spans="2:183" ht="16.5" thickBot="1" x14ac:dyDescent="0.3">
      <c r="B111" s="354"/>
      <c r="C111" s="354"/>
      <c r="D111" s="354"/>
      <c r="E111" s="354"/>
      <c r="F111" s="354"/>
      <c r="G111" s="354"/>
      <c r="H111" s="354"/>
      <c r="I111" s="354"/>
      <c r="K111" s="657"/>
      <c r="L111" s="657"/>
      <c r="M111" s="657"/>
      <c r="N111" s="657"/>
      <c r="O111" s="657"/>
      <c r="BK111" s="568" t="s">
        <v>503</v>
      </c>
      <c r="BL111" s="569">
        <v>0.3923611111111111</v>
      </c>
      <c r="BM111" s="570">
        <v>45640</v>
      </c>
      <c r="BN111" s="568">
        <v>85</v>
      </c>
      <c r="BO111" s="568">
        <v>9643</v>
      </c>
      <c r="BP111" s="825">
        <f t="shared" si="59"/>
        <v>10</v>
      </c>
      <c r="BQ111" s="568">
        <v>7386</v>
      </c>
      <c r="BR111" s="568" t="str">
        <f t="shared" si="61"/>
        <v>JAVIER</v>
      </c>
      <c r="BS111" s="568" t="str">
        <f t="shared" si="60"/>
        <v>CENTRO</v>
      </c>
      <c r="BU111" s="355"/>
      <c r="BW111" s="426">
        <v>0.56527777777777777</v>
      </c>
      <c r="BX111" s="408">
        <v>45499</v>
      </c>
      <c r="BY111" s="385">
        <v>88</v>
      </c>
      <c r="BZ111" s="385">
        <v>10236</v>
      </c>
      <c r="CA111" s="407">
        <f t="shared" si="58"/>
        <v>0.1744186046511628</v>
      </c>
      <c r="CB111" s="385">
        <v>8686</v>
      </c>
      <c r="CC111" s="385" t="s">
        <v>406</v>
      </c>
      <c r="CD111" s="393" t="s">
        <v>677</v>
      </c>
      <c r="CG111" s="442" t="s">
        <v>307</v>
      </c>
      <c r="CH111" s="451">
        <v>0.44027777777777777</v>
      </c>
      <c r="CI111" s="421">
        <v>45734</v>
      </c>
      <c r="CJ111" s="452">
        <v>99</v>
      </c>
      <c r="CK111" s="452">
        <v>2344</v>
      </c>
      <c r="CL111" s="527">
        <f t="shared" si="63"/>
        <v>21</v>
      </c>
      <c r="CM111" s="452">
        <v>12234</v>
      </c>
      <c r="CN111" s="452" t="s">
        <v>406</v>
      </c>
      <c r="CO111" s="452" t="s">
        <v>687</v>
      </c>
      <c r="CR111" s="409" t="s">
        <v>623</v>
      </c>
      <c r="CS111" s="487">
        <v>0.37430555555555556</v>
      </c>
      <c r="CT111" s="488">
        <v>46072</v>
      </c>
      <c r="CU111" s="410">
        <v>150</v>
      </c>
      <c r="CV111" s="834">
        <v>7839</v>
      </c>
      <c r="CW111" s="410">
        <f t="shared" si="48"/>
        <v>28</v>
      </c>
      <c r="CX111" s="410">
        <v>9709</v>
      </c>
      <c r="CY111" s="410" t="s">
        <v>591</v>
      </c>
      <c r="CZ111" s="410" t="s">
        <v>146</v>
      </c>
      <c r="DA111" s="348" t="s">
        <v>691</v>
      </c>
      <c r="DN111" s="442" t="s">
        <v>285</v>
      </c>
      <c r="DO111" s="426">
        <v>0.49583333333333335</v>
      </c>
      <c r="DP111" s="408">
        <v>45966</v>
      </c>
      <c r="DQ111" s="385">
        <v>194</v>
      </c>
      <c r="DR111" s="385">
        <v>2881</v>
      </c>
      <c r="DS111" s="511">
        <f t="shared" si="56"/>
        <v>25</v>
      </c>
      <c r="DT111" s="385">
        <v>11018</v>
      </c>
      <c r="DU111" s="385" t="s">
        <v>61</v>
      </c>
      <c r="DV111" s="385" t="s">
        <v>172</v>
      </c>
      <c r="EW111" s="568" t="s">
        <v>63</v>
      </c>
      <c r="EX111" s="569">
        <v>0.65763888888888888</v>
      </c>
      <c r="EY111" s="570">
        <v>45659</v>
      </c>
      <c r="EZ111" s="568">
        <v>58</v>
      </c>
      <c r="FA111" s="568">
        <v>5374</v>
      </c>
      <c r="FB111" s="549">
        <f t="shared" si="57"/>
        <v>0.4838709677419355</v>
      </c>
      <c r="FC111" s="568">
        <v>12034</v>
      </c>
      <c r="FD111" s="568" t="s">
        <v>600</v>
      </c>
      <c r="FE111" s="568" t="s">
        <v>690</v>
      </c>
    </row>
    <row r="112" spans="2:183" ht="16.5" thickBot="1" x14ac:dyDescent="0.3">
      <c r="B112" s="354"/>
      <c r="C112" s="354"/>
      <c r="D112" s="354"/>
      <c r="E112" s="354"/>
      <c r="F112" s="354"/>
      <c r="G112" s="354"/>
      <c r="H112" s="354"/>
      <c r="I112" s="354"/>
      <c r="K112" s="657"/>
      <c r="L112" s="657"/>
      <c r="M112" s="657"/>
      <c r="N112" s="657"/>
      <c r="O112" s="657"/>
      <c r="BK112" s="568" t="s">
        <v>503</v>
      </c>
      <c r="BL112" s="569">
        <v>0.42986111111111114</v>
      </c>
      <c r="BM112" s="570">
        <v>45643</v>
      </c>
      <c r="BN112" s="568">
        <v>100</v>
      </c>
      <c r="BO112" s="568">
        <v>9654</v>
      </c>
      <c r="BP112" s="825">
        <f t="shared" si="59"/>
        <v>11</v>
      </c>
      <c r="BQ112" s="568">
        <v>7396</v>
      </c>
      <c r="BR112" s="568" t="str">
        <f t="shared" si="61"/>
        <v>JAVIER</v>
      </c>
      <c r="BS112" s="568" t="str">
        <f t="shared" si="60"/>
        <v>CENTRO</v>
      </c>
      <c r="BV112" s="743" t="s">
        <v>306</v>
      </c>
      <c r="BW112" s="451"/>
      <c r="BX112" s="421">
        <v>45506</v>
      </c>
      <c r="BY112" s="452">
        <v>100</v>
      </c>
      <c r="BZ112" s="452">
        <v>10264</v>
      </c>
      <c r="CA112" s="402">
        <f t="shared" si="58"/>
        <v>0.31818181818181818</v>
      </c>
      <c r="CB112" s="452">
        <v>8898</v>
      </c>
      <c r="CC112" s="452" t="s">
        <v>692</v>
      </c>
      <c r="CD112" s="676" t="s">
        <v>693</v>
      </c>
      <c r="CH112" s="451">
        <v>0.59027777777777779</v>
      </c>
      <c r="CI112" s="421">
        <v>45736</v>
      </c>
      <c r="CJ112" s="452">
        <v>85</v>
      </c>
      <c r="CK112" s="452">
        <v>2362</v>
      </c>
      <c r="CL112" s="527">
        <f t="shared" si="63"/>
        <v>18</v>
      </c>
      <c r="CM112" s="452">
        <v>12246</v>
      </c>
      <c r="CN112" s="452" t="s">
        <v>406</v>
      </c>
      <c r="CO112" s="452" t="s">
        <v>687</v>
      </c>
      <c r="CR112" s="409" t="s">
        <v>623</v>
      </c>
      <c r="CS112" s="491">
        <v>0.77777777777777779</v>
      </c>
      <c r="CT112" s="513">
        <v>46076</v>
      </c>
      <c r="CU112" s="469">
        <v>172</v>
      </c>
      <c r="CV112" s="540">
        <v>7857</v>
      </c>
      <c r="CW112" s="469">
        <f t="shared" si="48"/>
        <v>18</v>
      </c>
      <c r="CX112" s="469">
        <v>13304</v>
      </c>
      <c r="CY112" s="469" t="s">
        <v>591</v>
      </c>
      <c r="CZ112" s="469" t="s">
        <v>146</v>
      </c>
      <c r="DN112" s="442" t="s">
        <v>285</v>
      </c>
      <c r="DO112" s="426">
        <v>0.44097222222222221</v>
      </c>
      <c r="DP112" s="408">
        <v>45969</v>
      </c>
      <c r="DQ112" s="385">
        <v>397</v>
      </c>
      <c r="DR112" s="385">
        <v>2904</v>
      </c>
      <c r="DS112" s="511">
        <f t="shared" si="56"/>
        <v>23</v>
      </c>
      <c r="DT112" s="385">
        <v>11046</v>
      </c>
      <c r="DU112" s="385" t="s">
        <v>61</v>
      </c>
      <c r="DV112" s="385" t="s">
        <v>172</v>
      </c>
      <c r="EW112" s="568" t="s">
        <v>63</v>
      </c>
      <c r="EX112" s="569">
        <v>0.68472222222222223</v>
      </c>
      <c r="EY112" s="570">
        <v>45663</v>
      </c>
      <c r="EZ112" s="568">
        <v>73</v>
      </c>
      <c r="FA112" s="568">
        <v>5493</v>
      </c>
      <c r="FB112" s="549">
        <f t="shared" si="57"/>
        <v>2.0517241379310347</v>
      </c>
      <c r="FC112" s="568">
        <v>15013</v>
      </c>
      <c r="FD112" s="568" t="str">
        <f>+FD111</f>
        <v>Ivan</v>
      </c>
      <c r="FE112" s="568" t="str">
        <f>+FE111</f>
        <v>CASA BLANCA</v>
      </c>
      <c r="FR112" s="348" t="s">
        <v>592</v>
      </c>
      <c r="FT112" s="348">
        <f>3750</f>
        <v>3750</v>
      </c>
    </row>
    <row r="113" spans="2:183" ht="15.75" customHeight="1" thickBot="1" x14ac:dyDescent="0.3">
      <c r="B113" s="354"/>
      <c r="C113" s="354"/>
      <c r="D113" s="354"/>
      <c r="E113" s="354"/>
      <c r="F113" s="354"/>
      <c r="G113" s="354"/>
      <c r="H113" s="354"/>
      <c r="I113" s="354"/>
      <c r="K113" s="355"/>
      <c r="L113" s="355"/>
      <c r="M113" s="355"/>
      <c r="N113" s="355"/>
      <c r="O113" s="355"/>
      <c r="BK113" s="568" t="str">
        <f>+BK112</f>
        <v>EX07</v>
      </c>
      <c r="BL113" s="569">
        <v>0.72916666666666663</v>
      </c>
      <c r="BM113" s="570">
        <v>45645</v>
      </c>
      <c r="BN113" s="568">
        <v>93</v>
      </c>
      <c r="BO113" s="568">
        <v>9672</v>
      </c>
      <c r="BP113" s="825">
        <f t="shared" si="59"/>
        <v>18</v>
      </c>
      <c r="BQ113" s="568">
        <v>9087</v>
      </c>
      <c r="BR113" s="568" t="str">
        <f t="shared" si="61"/>
        <v>JAVIER</v>
      </c>
      <c r="BS113" s="568" t="str">
        <f t="shared" si="60"/>
        <v>CENTRO</v>
      </c>
      <c r="BV113" s="743" t="s">
        <v>306</v>
      </c>
      <c r="BW113" s="426">
        <v>0.4284722222222222</v>
      </c>
      <c r="BX113" s="408">
        <v>45509</v>
      </c>
      <c r="BY113" s="385">
        <v>40</v>
      </c>
      <c r="BZ113" s="385"/>
      <c r="CA113" s="407">
        <f t="shared" si="58"/>
        <v>-102.64</v>
      </c>
      <c r="CB113" s="385">
        <v>8961</v>
      </c>
      <c r="CC113" s="385" t="s">
        <v>692</v>
      </c>
      <c r="CD113" s="393" t="s">
        <v>693</v>
      </c>
      <c r="CG113" s="442" t="s">
        <v>307</v>
      </c>
      <c r="CH113" s="451">
        <v>0.41666666666666669</v>
      </c>
      <c r="CI113" s="421">
        <v>45740</v>
      </c>
      <c r="CJ113" s="452">
        <v>83</v>
      </c>
      <c r="CK113" s="452">
        <v>2380</v>
      </c>
      <c r="CL113" s="527">
        <f t="shared" si="63"/>
        <v>18</v>
      </c>
      <c r="CM113" s="452">
        <v>9209</v>
      </c>
      <c r="CN113" s="452" t="s">
        <v>406</v>
      </c>
      <c r="CO113" s="452" t="s">
        <v>687</v>
      </c>
      <c r="DO113" s="426">
        <v>0.56736111111111109</v>
      </c>
      <c r="DP113" s="408">
        <v>45973</v>
      </c>
      <c r="DQ113" s="385">
        <v>222</v>
      </c>
      <c r="DR113" s="385">
        <v>2922</v>
      </c>
      <c r="DS113" s="511">
        <f t="shared" si="56"/>
        <v>18</v>
      </c>
      <c r="DT113" s="385">
        <v>11167</v>
      </c>
      <c r="DU113" s="385" t="s">
        <v>61</v>
      </c>
      <c r="DV113" s="385" t="s">
        <v>172</v>
      </c>
      <c r="EW113" s="568" t="s">
        <v>63</v>
      </c>
      <c r="EX113" s="569">
        <v>0.38472222222222224</v>
      </c>
      <c r="EY113" s="570">
        <v>45668</v>
      </c>
      <c r="EZ113" s="568">
        <v>77</v>
      </c>
      <c r="FA113" s="568">
        <v>5414</v>
      </c>
      <c r="FB113" s="549">
        <f t="shared" si="57"/>
        <v>-1.0821917808219179</v>
      </c>
      <c r="FC113" s="568">
        <v>7746</v>
      </c>
      <c r="FD113" s="568" t="s">
        <v>694</v>
      </c>
      <c r="FE113" s="568" t="s">
        <v>426</v>
      </c>
      <c r="FR113" s="607" t="s">
        <v>438</v>
      </c>
      <c r="FS113" s="757"/>
      <c r="FT113" s="348">
        <f>3240+250</f>
        <v>3490</v>
      </c>
    </row>
    <row r="114" spans="2:183" x14ac:dyDescent="0.25">
      <c r="B114" s="354"/>
      <c r="C114" s="354"/>
      <c r="D114" s="354"/>
      <c r="E114" s="354"/>
      <c r="F114" s="354"/>
      <c r="G114" s="354"/>
      <c r="H114" s="354"/>
      <c r="I114" s="354"/>
      <c r="BK114" s="568" t="str">
        <f>+BK113</f>
        <v>EX07</v>
      </c>
      <c r="BL114" s="569">
        <v>0.39583333333333331</v>
      </c>
      <c r="BM114" s="570">
        <v>45649</v>
      </c>
      <c r="BN114" s="568">
        <v>92</v>
      </c>
      <c r="BO114" s="568">
        <v>9687</v>
      </c>
      <c r="BP114" s="825">
        <f t="shared" si="59"/>
        <v>15</v>
      </c>
      <c r="BQ114" s="568">
        <v>9088</v>
      </c>
      <c r="BR114" s="568" t="str">
        <f t="shared" si="61"/>
        <v>JAVIER</v>
      </c>
      <c r="BS114" s="568" t="str">
        <f t="shared" si="60"/>
        <v>CENTRO</v>
      </c>
      <c r="BW114" s="426">
        <v>0.46597222222222223</v>
      </c>
      <c r="BX114" s="408">
        <v>45511</v>
      </c>
      <c r="BY114" s="385">
        <v>80</v>
      </c>
      <c r="BZ114" s="385">
        <v>10281</v>
      </c>
      <c r="CA114" s="407">
        <f t="shared" si="58"/>
        <v>257.02499999999998</v>
      </c>
      <c r="CB114" s="385">
        <v>8818</v>
      </c>
      <c r="CC114" s="385" t="s">
        <v>692</v>
      </c>
      <c r="CD114" s="393" t="s">
        <v>693</v>
      </c>
      <c r="CH114" s="451">
        <v>0.51875000000000004</v>
      </c>
      <c r="CI114" s="421">
        <v>45742</v>
      </c>
      <c r="CJ114" s="452">
        <v>114</v>
      </c>
      <c r="CK114" s="452">
        <v>2399</v>
      </c>
      <c r="CL114" s="527">
        <f t="shared" si="63"/>
        <v>19</v>
      </c>
      <c r="CM114" s="452">
        <v>9233</v>
      </c>
      <c r="CN114" s="452" t="s">
        <v>406</v>
      </c>
      <c r="CO114" s="452" t="s">
        <v>687</v>
      </c>
      <c r="DN114" s="442" t="s">
        <v>285</v>
      </c>
      <c r="DO114" s="426">
        <v>0.40277777777777779</v>
      </c>
      <c r="DP114" s="408">
        <v>45979</v>
      </c>
      <c r="DQ114" s="385">
        <v>209</v>
      </c>
      <c r="DR114" s="385">
        <v>2940</v>
      </c>
      <c r="DS114" s="511">
        <f t="shared" si="56"/>
        <v>18</v>
      </c>
      <c r="DT114" s="385">
        <v>11196</v>
      </c>
      <c r="DU114" s="385" t="s">
        <v>61</v>
      </c>
      <c r="DV114" s="385" t="s">
        <v>172</v>
      </c>
      <c r="EW114" s="568" t="s">
        <v>63</v>
      </c>
      <c r="EX114" s="569">
        <v>0.3611111111111111</v>
      </c>
      <c r="EY114" s="570">
        <v>45673</v>
      </c>
      <c r="EZ114" s="568">
        <v>61</v>
      </c>
      <c r="FA114" s="568">
        <v>5433</v>
      </c>
      <c r="FB114" s="549">
        <f t="shared" si="57"/>
        <v>0.24675324675324675</v>
      </c>
      <c r="FC114" s="568">
        <v>12091</v>
      </c>
      <c r="FD114" s="568" t="s">
        <v>333</v>
      </c>
      <c r="FE114" s="568" t="s">
        <v>426</v>
      </c>
      <c r="FR114" s="671" t="s">
        <v>438</v>
      </c>
      <c r="FS114" s="804"/>
      <c r="FT114" s="598">
        <f>FT115+250</f>
        <v>3240</v>
      </c>
    </row>
    <row r="115" spans="2:183" ht="16.5" thickBot="1" x14ac:dyDescent="0.3">
      <c r="B115" s="354"/>
      <c r="C115" s="354"/>
      <c r="D115" s="354"/>
      <c r="E115" s="354"/>
      <c r="F115" s="354"/>
      <c r="G115" s="354"/>
      <c r="H115" s="354"/>
      <c r="I115" s="354"/>
      <c r="K115" s="657"/>
      <c r="L115" s="657"/>
      <c r="M115" s="657"/>
      <c r="N115" s="657"/>
      <c r="O115" s="657"/>
      <c r="BK115" s="568" t="str">
        <f>+BK114</f>
        <v>EX07</v>
      </c>
      <c r="BL115" s="569">
        <v>0.67986111111111114</v>
      </c>
      <c r="BM115" s="570">
        <v>45652</v>
      </c>
      <c r="BN115" s="568">
        <v>114</v>
      </c>
      <c r="BO115" s="568">
        <v>9703</v>
      </c>
      <c r="BP115" s="825">
        <f t="shared" si="59"/>
        <v>16</v>
      </c>
      <c r="BQ115" s="568">
        <v>9165</v>
      </c>
      <c r="BR115" s="568" t="str">
        <f t="shared" si="61"/>
        <v>JAVIER</v>
      </c>
      <c r="BS115" s="568" t="str">
        <f t="shared" si="60"/>
        <v>CENTRO</v>
      </c>
      <c r="BW115" s="451"/>
      <c r="BX115" s="421">
        <v>45513</v>
      </c>
      <c r="BY115" s="452">
        <v>80</v>
      </c>
      <c r="BZ115" s="452">
        <v>10294</v>
      </c>
      <c r="CA115" s="402">
        <f t="shared" si="58"/>
        <v>0.16250000000000001</v>
      </c>
      <c r="CB115" s="452">
        <v>8843</v>
      </c>
      <c r="CC115" s="452" t="s">
        <v>692</v>
      </c>
      <c r="CD115" s="676" t="s">
        <v>693</v>
      </c>
      <c r="CG115" s="442" t="s">
        <v>307</v>
      </c>
      <c r="CH115" s="426">
        <v>0.31944444444444442</v>
      </c>
      <c r="CI115" s="408">
        <v>45747</v>
      </c>
      <c r="CJ115" s="385">
        <v>105</v>
      </c>
      <c r="CK115" s="385">
        <v>2424</v>
      </c>
      <c r="CL115" s="527">
        <f t="shared" si="63"/>
        <v>25</v>
      </c>
      <c r="CM115" s="385">
        <v>9266</v>
      </c>
      <c r="CN115" s="385" t="s">
        <v>406</v>
      </c>
      <c r="CO115" s="385" t="s">
        <v>687</v>
      </c>
      <c r="CR115" s="836" t="s">
        <v>623</v>
      </c>
      <c r="DN115" s="442" t="s">
        <v>285</v>
      </c>
      <c r="DO115" s="426">
        <v>0.50694444444444442</v>
      </c>
      <c r="DP115" s="408">
        <v>45985</v>
      </c>
      <c r="DQ115" s="385">
        <v>289</v>
      </c>
      <c r="DR115" s="385">
        <v>2964</v>
      </c>
      <c r="DS115" s="511">
        <f t="shared" si="56"/>
        <v>24</v>
      </c>
      <c r="DT115" s="385">
        <v>11082</v>
      </c>
      <c r="DU115" s="385" t="s">
        <v>61</v>
      </c>
      <c r="DV115" s="385" t="s">
        <v>172</v>
      </c>
      <c r="EW115" s="419" t="s">
        <v>63</v>
      </c>
      <c r="EX115" s="451">
        <v>0.47847222222222224</v>
      </c>
      <c r="EY115" s="421">
        <v>45677</v>
      </c>
      <c r="EZ115" s="452">
        <v>77</v>
      </c>
      <c r="FA115" s="452">
        <v>5481</v>
      </c>
      <c r="FB115" s="402">
        <f>(FA115-FA114)/EZ114</f>
        <v>0.78688524590163933</v>
      </c>
      <c r="FC115" s="452">
        <v>13025</v>
      </c>
      <c r="FD115" s="452" t="s">
        <v>333</v>
      </c>
      <c r="FE115" s="452" t="s">
        <v>426</v>
      </c>
      <c r="FR115" s="597" t="s">
        <v>614</v>
      </c>
      <c r="FS115" s="664"/>
      <c r="FT115" s="598">
        <v>2990</v>
      </c>
    </row>
    <row r="116" spans="2:183" ht="16.5" thickBot="1" x14ac:dyDescent="0.3">
      <c r="B116" s="354"/>
      <c r="C116" s="354"/>
      <c r="D116" s="354"/>
      <c r="E116" s="354"/>
      <c r="F116" s="354"/>
      <c r="G116" s="354"/>
      <c r="H116" s="354"/>
      <c r="I116" s="354"/>
      <c r="K116" s="657"/>
      <c r="L116" s="657"/>
      <c r="M116" s="657"/>
      <c r="N116" s="657"/>
      <c r="O116" s="657"/>
      <c r="BK116" s="568" t="str">
        <f>+BK115</f>
        <v>EX07</v>
      </c>
      <c r="BL116" s="569">
        <v>0.29166666666666669</v>
      </c>
      <c r="BM116" s="570">
        <v>46021</v>
      </c>
      <c r="BN116" s="568">
        <v>105</v>
      </c>
      <c r="BO116" s="568">
        <v>9714</v>
      </c>
      <c r="BP116" s="825">
        <f t="shared" si="59"/>
        <v>11</v>
      </c>
      <c r="BQ116" s="568">
        <v>9189</v>
      </c>
      <c r="BR116" s="568" t="str">
        <f t="shared" si="61"/>
        <v>JAVIER</v>
      </c>
      <c r="BS116" s="568" t="str">
        <f t="shared" si="61"/>
        <v>CENTRO</v>
      </c>
      <c r="BV116" s="743" t="s">
        <v>306</v>
      </c>
      <c r="BW116" s="426"/>
      <c r="BX116" s="408">
        <v>45516</v>
      </c>
      <c r="BY116" s="385">
        <v>62</v>
      </c>
      <c r="BZ116" s="385">
        <v>10299.5</v>
      </c>
      <c r="CA116" s="407">
        <f t="shared" si="58"/>
        <v>6.8750000000000006E-2</v>
      </c>
      <c r="CB116" s="385">
        <v>8983</v>
      </c>
      <c r="CC116" s="385" t="s">
        <v>46</v>
      </c>
      <c r="CD116" s="393" t="s">
        <v>693</v>
      </c>
      <c r="CH116" s="426">
        <v>0.38055555555555554</v>
      </c>
      <c r="CI116" s="408">
        <v>45750</v>
      </c>
      <c r="CJ116" s="385">
        <v>111</v>
      </c>
      <c r="CK116" s="385">
        <v>2451</v>
      </c>
      <c r="CL116" s="527">
        <f t="shared" si="63"/>
        <v>27</v>
      </c>
      <c r="CM116" s="385">
        <v>9283</v>
      </c>
      <c r="CN116" s="385" t="s">
        <v>406</v>
      </c>
      <c r="CO116" s="385" t="s">
        <v>687</v>
      </c>
      <c r="CR116" s="607" t="s">
        <v>242</v>
      </c>
      <c r="CS116" s="837"/>
      <c r="CT116" s="598">
        <f>CT117+250</f>
        <v>7800</v>
      </c>
      <c r="DO116" s="426">
        <v>0.56319444444444444</v>
      </c>
      <c r="DP116" s="408">
        <v>45988</v>
      </c>
      <c r="DQ116" s="385">
        <v>264</v>
      </c>
      <c r="DR116" s="385">
        <v>2986</v>
      </c>
      <c r="DS116" s="511">
        <f t="shared" si="56"/>
        <v>22</v>
      </c>
      <c r="DT116" s="385">
        <v>11254</v>
      </c>
      <c r="DU116" s="385" t="s">
        <v>61</v>
      </c>
      <c r="DV116" s="385" t="s">
        <v>172</v>
      </c>
      <c r="DW116" s="428" t="s">
        <v>325</v>
      </c>
      <c r="DX116" s="348" t="s">
        <v>592</v>
      </c>
      <c r="DY116" s="348">
        <v>2250</v>
      </c>
      <c r="EX116" s="451">
        <v>0.69444444444444442</v>
      </c>
      <c r="EY116" s="421">
        <v>45678</v>
      </c>
      <c r="EZ116" s="452">
        <v>44</v>
      </c>
      <c r="FA116" s="452">
        <v>5461</v>
      </c>
      <c r="FB116" s="402">
        <f>(FA116-FA115)/EZ115</f>
        <v>-0.25974025974025972</v>
      </c>
      <c r="FC116" s="452">
        <v>13032</v>
      </c>
      <c r="FD116" s="452" t="s">
        <v>333</v>
      </c>
      <c r="FE116" s="452" t="s">
        <v>426</v>
      </c>
    </row>
    <row r="117" spans="2:183" ht="16.5" thickBot="1" x14ac:dyDescent="0.3">
      <c r="B117" s="354"/>
      <c r="C117" s="354"/>
      <c r="D117" s="354"/>
      <c r="E117" s="354"/>
      <c r="F117" s="354"/>
      <c r="G117" s="354"/>
      <c r="H117" s="354"/>
      <c r="I117" s="354"/>
      <c r="K117" s="657"/>
      <c r="L117" s="657"/>
      <c r="M117" s="657"/>
      <c r="N117" s="657"/>
      <c r="O117" s="657"/>
      <c r="BK117" s="568" t="s">
        <v>695</v>
      </c>
      <c r="BL117" s="569">
        <v>0.42083333333333334</v>
      </c>
      <c r="BM117" s="570">
        <v>46022</v>
      </c>
      <c r="BN117" s="568">
        <v>99</v>
      </c>
      <c r="BO117" s="568">
        <v>9726</v>
      </c>
      <c r="BP117" s="825">
        <f t="shared" si="59"/>
        <v>12</v>
      </c>
      <c r="BQ117" s="568">
        <v>9726</v>
      </c>
      <c r="BR117" s="568" t="str">
        <f t="shared" si="61"/>
        <v>JAVIER</v>
      </c>
      <c r="BS117" s="568" t="str">
        <f t="shared" si="61"/>
        <v>CENTRO</v>
      </c>
      <c r="BW117" s="451"/>
      <c r="BX117" s="421">
        <v>45517</v>
      </c>
      <c r="BY117" s="452">
        <v>60</v>
      </c>
      <c r="BZ117" s="452"/>
      <c r="CA117" s="402">
        <f t="shared" si="58"/>
        <v>-166.12096774193549</v>
      </c>
      <c r="CB117" s="452">
        <v>6141</v>
      </c>
      <c r="CC117" s="452" t="s">
        <v>46</v>
      </c>
      <c r="CD117" s="676" t="s">
        <v>693</v>
      </c>
      <c r="CE117" s="578" t="s">
        <v>688</v>
      </c>
      <c r="CG117" s="442" t="s">
        <v>307</v>
      </c>
      <c r="CH117" s="451">
        <v>0.37847222222222221</v>
      </c>
      <c r="CI117" s="421">
        <v>45757</v>
      </c>
      <c r="CJ117" s="452">
        <v>84</v>
      </c>
      <c r="CK117" s="452">
        <v>2477</v>
      </c>
      <c r="CL117" s="527">
        <f t="shared" si="63"/>
        <v>26</v>
      </c>
      <c r="CM117" s="452">
        <v>7455</v>
      </c>
      <c r="CN117" s="452" t="s">
        <v>406</v>
      </c>
      <c r="CO117" s="452" t="s">
        <v>687</v>
      </c>
      <c r="CR117" s="671" t="s">
        <v>696</v>
      </c>
      <c r="CS117" s="823"/>
      <c r="CT117" s="598">
        <v>7550</v>
      </c>
      <c r="CU117" s="824">
        <v>45985</v>
      </c>
      <c r="DN117" s="442" t="s">
        <v>285</v>
      </c>
      <c r="DO117" s="426">
        <v>0.36875000000000002</v>
      </c>
      <c r="DP117" s="408">
        <v>46031</v>
      </c>
      <c r="DQ117" s="385">
        <v>182</v>
      </c>
      <c r="DR117" s="385">
        <v>2999</v>
      </c>
      <c r="DS117" s="511">
        <f t="shared" si="56"/>
        <v>13</v>
      </c>
      <c r="DT117" s="385">
        <v>9907</v>
      </c>
      <c r="DU117" s="385" t="s">
        <v>61</v>
      </c>
      <c r="DV117" s="385" t="s">
        <v>172</v>
      </c>
      <c r="DX117" s="656" t="s">
        <v>438</v>
      </c>
      <c r="DY117" s="598">
        <f>DY118+250</f>
        <v>2065</v>
      </c>
      <c r="DZ117" s="824">
        <v>46052</v>
      </c>
      <c r="EX117" s="451">
        <v>0.61458333333333337</v>
      </c>
      <c r="EY117" s="421">
        <v>45680</v>
      </c>
      <c r="EZ117" s="452">
        <v>45</v>
      </c>
      <c r="FA117" s="452">
        <v>5480</v>
      </c>
      <c r="FB117" s="402">
        <f t="shared" ref="FB117:FB131" si="64">(FA117-FA116)/EZ116</f>
        <v>0.43181818181818182</v>
      </c>
      <c r="FC117" s="452">
        <v>14008</v>
      </c>
      <c r="FD117" s="452" t="s">
        <v>333</v>
      </c>
      <c r="FE117" s="452" t="s">
        <v>426</v>
      </c>
    </row>
    <row r="118" spans="2:183" ht="16.5" thickBot="1" x14ac:dyDescent="0.3">
      <c r="B118" s="354"/>
      <c r="C118" s="354"/>
      <c r="D118" s="354"/>
      <c r="E118" s="354"/>
      <c r="F118" s="354"/>
      <c r="G118" s="354"/>
      <c r="H118" s="354"/>
      <c r="I118" s="354"/>
      <c r="K118" s="657"/>
      <c r="L118" s="657"/>
      <c r="M118" s="657"/>
      <c r="N118" s="657"/>
      <c r="O118" s="657"/>
      <c r="P118" s="348" t="s">
        <v>2</v>
      </c>
      <c r="BK118" s="568" t="s">
        <v>503</v>
      </c>
      <c r="BL118" s="569">
        <v>0.27777777777777779</v>
      </c>
      <c r="BM118" s="570">
        <v>45660</v>
      </c>
      <c r="BN118" s="568">
        <v>105</v>
      </c>
      <c r="BO118" s="568">
        <v>9738</v>
      </c>
      <c r="BP118" s="825">
        <f t="shared" si="59"/>
        <v>12</v>
      </c>
      <c r="BQ118" s="568">
        <v>12037</v>
      </c>
      <c r="BR118" s="568" t="str">
        <f t="shared" ref="BR118:BS122" si="65">+BR117</f>
        <v>JAVIER</v>
      </c>
      <c r="BS118" s="568" t="str">
        <f t="shared" si="65"/>
        <v>CENTRO</v>
      </c>
      <c r="BV118" s="743" t="s">
        <v>306</v>
      </c>
      <c r="BW118" s="426">
        <v>0.83680555555555558</v>
      </c>
      <c r="BX118" s="408">
        <v>45523</v>
      </c>
      <c r="BY118" s="385">
        <v>112</v>
      </c>
      <c r="BZ118" s="385"/>
      <c r="CA118" s="407">
        <f t="shared" si="58"/>
        <v>0</v>
      </c>
      <c r="CB118" s="385">
        <v>8560</v>
      </c>
      <c r="CC118" s="385"/>
      <c r="CD118" s="385" t="s">
        <v>693</v>
      </c>
      <c r="CG118" s="442" t="s">
        <v>697</v>
      </c>
      <c r="CH118" s="451">
        <v>0.41111111111111109</v>
      </c>
      <c r="CI118" s="838">
        <v>45762</v>
      </c>
      <c r="CJ118" s="839">
        <v>70</v>
      </c>
      <c r="CK118" s="839">
        <v>2500</v>
      </c>
      <c r="CL118" s="527">
        <f t="shared" si="63"/>
        <v>23</v>
      </c>
      <c r="CM118" s="452">
        <v>10102</v>
      </c>
      <c r="CN118" s="452" t="s">
        <v>406</v>
      </c>
      <c r="CO118" s="452" t="s">
        <v>687</v>
      </c>
      <c r="CP118" s="428"/>
      <c r="CR118" s="671" t="s">
        <v>614</v>
      </c>
      <c r="CS118" s="823"/>
      <c r="CT118" s="598">
        <v>7200</v>
      </c>
      <c r="CU118" s="824">
        <v>45908</v>
      </c>
      <c r="DN118" s="442" t="s">
        <v>285</v>
      </c>
      <c r="DO118" s="426">
        <v>0.32222222222222224</v>
      </c>
      <c r="DP118" s="408">
        <v>46034</v>
      </c>
      <c r="DQ118" s="385">
        <v>225</v>
      </c>
      <c r="DR118" s="385">
        <v>3011</v>
      </c>
      <c r="DS118" s="511">
        <f t="shared" si="56"/>
        <v>12</v>
      </c>
      <c r="DT118" s="385">
        <v>9926</v>
      </c>
      <c r="DU118" s="385" t="s">
        <v>61</v>
      </c>
      <c r="DV118" s="385" t="s">
        <v>172</v>
      </c>
      <c r="DW118" s="657" t="s">
        <v>698</v>
      </c>
      <c r="DX118" s="607" t="s">
        <v>564</v>
      </c>
      <c r="DY118" s="598">
        <v>1815</v>
      </c>
      <c r="DZ118" s="824">
        <v>45940</v>
      </c>
      <c r="EW118" s="419" t="s">
        <v>63</v>
      </c>
      <c r="EX118" s="451">
        <v>0.47708333333333336</v>
      </c>
      <c r="EY118" s="421">
        <v>45684</v>
      </c>
      <c r="EZ118" s="452">
        <v>63</v>
      </c>
      <c r="FA118" s="452">
        <v>5491</v>
      </c>
      <c r="FB118" s="402">
        <f t="shared" si="64"/>
        <v>0.24444444444444444</v>
      </c>
      <c r="FC118" s="452">
        <v>14030</v>
      </c>
      <c r="FD118" s="452" t="s">
        <v>333</v>
      </c>
      <c r="FE118" s="452" t="s">
        <v>426</v>
      </c>
    </row>
    <row r="119" spans="2:183" x14ac:dyDescent="0.25">
      <c r="B119" s="354"/>
      <c r="C119" s="354"/>
      <c r="D119" s="354"/>
      <c r="E119" s="354"/>
      <c r="F119" s="354"/>
      <c r="G119" s="354"/>
      <c r="H119" s="354"/>
      <c r="I119" s="354"/>
      <c r="K119" s="657"/>
      <c r="L119" s="657"/>
      <c r="M119" s="657"/>
      <c r="N119" s="657"/>
      <c r="O119" s="657"/>
      <c r="BK119" s="568" t="s">
        <v>503</v>
      </c>
      <c r="BL119" s="569">
        <v>0.43958333333333333</v>
      </c>
      <c r="BM119" s="570">
        <v>45663</v>
      </c>
      <c r="BN119" s="568">
        <v>107</v>
      </c>
      <c r="BO119" s="568">
        <v>9752</v>
      </c>
      <c r="BP119" s="825">
        <f t="shared" si="59"/>
        <v>14</v>
      </c>
      <c r="BQ119" s="568">
        <v>15010</v>
      </c>
      <c r="BR119" s="568" t="str">
        <f t="shared" si="65"/>
        <v>JAVIER</v>
      </c>
      <c r="BS119" s="568" t="str">
        <f t="shared" si="65"/>
        <v>CENTRO</v>
      </c>
      <c r="BW119" s="426">
        <v>0.5</v>
      </c>
      <c r="BX119" s="408">
        <v>45525</v>
      </c>
      <c r="BY119" s="385">
        <v>95</v>
      </c>
      <c r="BZ119" s="385">
        <v>10344</v>
      </c>
      <c r="CA119" s="407">
        <f t="shared" si="58"/>
        <v>92.357142857142861</v>
      </c>
      <c r="CB119" s="385">
        <v>6552</v>
      </c>
      <c r="CC119" s="385" t="s">
        <v>67</v>
      </c>
      <c r="CD119" s="385" t="s">
        <v>693</v>
      </c>
      <c r="CG119" s="442" t="s">
        <v>697</v>
      </c>
      <c r="CH119" s="451">
        <v>0.34652777777777777</v>
      </c>
      <c r="CI119" s="421">
        <v>45766</v>
      </c>
      <c r="CJ119" s="452">
        <v>110</v>
      </c>
      <c r="CK119" s="452">
        <v>2526</v>
      </c>
      <c r="CL119" s="527">
        <f t="shared" si="63"/>
        <v>26</v>
      </c>
      <c r="CM119" s="452">
        <v>9503</v>
      </c>
      <c r="CN119" s="452" t="s">
        <v>406</v>
      </c>
      <c r="CO119" s="452" t="s">
        <v>687</v>
      </c>
      <c r="CR119" s="597" t="s">
        <v>614</v>
      </c>
      <c r="CS119" s="712"/>
      <c r="CT119" s="598">
        <v>6905</v>
      </c>
      <c r="CU119" s="824">
        <v>45821</v>
      </c>
      <c r="DO119" s="426">
        <v>0.37986111111111109</v>
      </c>
      <c r="DP119" s="408">
        <v>46036</v>
      </c>
      <c r="DQ119" s="385">
        <v>293</v>
      </c>
      <c r="DR119" s="385">
        <v>3028</v>
      </c>
      <c r="DS119" s="511">
        <f t="shared" si="56"/>
        <v>17</v>
      </c>
      <c r="DT119" s="385">
        <v>9938</v>
      </c>
      <c r="DU119" s="385" t="s">
        <v>61</v>
      </c>
      <c r="DV119" s="385" t="s">
        <v>172</v>
      </c>
      <c r="DX119" s="607" t="s">
        <v>564</v>
      </c>
      <c r="DY119" s="598">
        <v>1556</v>
      </c>
      <c r="DZ119" s="824">
        <v>45895</v>
      </c>
      <c r="EX119" s="451">
        <v>0.52847222222222223</v>
      </c>
      <c r="EY119" s="421">
        <v>45685</v>
      </c>
      <c r="EZ119" s="452">
        <v>48</v>
      </c>
      <c r="FA119" s="452">
        <v>5491</v>
      </c>
      <c r="FB119" s="402">
        <f t="shared" si="64"/>
        <v>0</v>
      </c>
      <c r="FC119" s="452">
        <v>14036</v>
      </c>
      <c r="FD119" s="452" t="s">
        <v>333</v>
      </c>
      <c r="FE119" s="452" t="s">
        <v>426</v>
      </c>
    </row>
    <row r="120" spans="2:183" ht="16.5" thickBot="1" x14ac:dyDescent="0.3">
      <c r="B120" s="354"/>
      <c r="C120" s="354"/>
      <c r="D120" s="354"/>
      <c r="E120" s="354"/>
      <c r="F120" s="354"/>
      <c r="G120" s="354"/>
      <c r="H120" s="354"/>
      <c r="I120" s="354"/>
      <c r="K120" s="657"/>
      <c r="L120" s="657"/>
      <c r="M120" s="657"/>
      <c r="N120" s="657"/>
      <c r="O120" s="657"/>
      <c r="BK120" s="568" t="str">
        <f>+BK119</f>
        <v>EX07</v>
      </c>
      <c r="BL120" s="569">
        <v>0.33333333333333331</v>
      </c>
      <c r="BM120" s="570">
        <v>45666</v>
      </c>
      <c r="BN120" s="568">
        <v>120</v>
      </c>
      <c r="BO120" s="568">
        <v>9768</v>
      </c>
      <c r="BP120" s="825">
        <f t="shared" si="59"/>
        <v>16</v>
      </c>
      <c r="BQ120" s="568">
        <v>15029</v>
      </c>
      <c r="BR120" s="568" t="str">
        <f t="shared" si="65"/>
        <v>JAVIER</v>
      </c>
      <c r="BS120" s="568" t="str">
        <f t="shared" si="65"/>
        <v>CENTRO</v>
      </c>
      <c r="BV120" s="840"/>
      <c r="BW120" s="426">
        <v>0.67013888888888884</v>
      </c>
      <c r="BX120" s="408">
        <v>45527</v>
      </c>
      <c r="BY120" s="385">
        <v>50</v>
      </c>
      <c r="BZ120" s="385"/>
      <c r="CA120" s="407">
        <f t="shared" si="58"/>
        <v>-108.88421052631578</v>
      </c>
      <c r="CB120" s="385">
        <v>6571</v>
      </c>
      <c r="CC120" s="385"/>
      <c r="CD120" s="385" t="s">
        <v>693</v>
      </c>
      <c r="CH120" s="451">
        <v>0.44513888888888886</v>
      </c>
      <c r="CI120" s="421">
        <v>45768</v>
      </c>
      <c r="CJ120" s="452">
        <v>40</v>
      </c>
      <c r="CK120" s="452">
        <v>2534</v>
      </c>
      <c r="CL120" s="527">
        <f t="shared" si="63"/>
        <v>8</v>
      </c>
      <c r="CM120" s="452">
        <v>9524</v>
      </c>
      <c r="CN120" s="452" t="s">
        <v>406</v>
      </c>
      <c r="CO120" s="452" t="s">
        <v>687</v>
      </c>
      <c r="DN120" s="442" t="s">
        <v>285</v>
      </c>
      <c r="DO120" s="426">
        <v>0.37708333333333333</v>
      </c>
      <c r="DP120" s="408">
        <v>46039</v>
      </c>
      <c r="DQ120" s="385">
        <v>291</v>
      </c>
      <c r="DR120" s="385">
        <v>3051</v>
      </c>
      <c r="DS120" s="511">
        <f t="shared" si="56"/>
        <v>23</v>
      </c>
      <c r="DT120" s="385">
        <v>10617</v>
      </c>
      <c r="DU120" s="385" t="s">
        <v>61</v>
      </c>
      <c r="DV120" s="385" t="s">
        <v>172</v>
      </c>
      <c r="DX120" s="607" t="s">
        <v>564</v>
      </c>
      <c r="DY120" s="598">
        <v>1291</v>
      </c>
      <c r="DZ120" s="824">
        <v>45848</v>
      </c>
      <c r="EX120" s="451">
        <v>0.54652777777777772</v>
      </c>
      <c r="EY120" s="421">
        <v>45687</v>
      </c>
      <c r="EZ120" s="452">
        <v>52</v>
      </c>
      <c r="FA120" s="452"/>
      <c r="FB120" s="402">
        <f t="shared" si="64"/>
        <v>-114.39583333333333</v>
      </c>
      <c r="FC120" s="452">
        <v>9001</v>
      </c>
      <c r="FD120" s="452" t="s">
        <v>333</v>
      </c>
      <c r="FE120" s="452" t="s">
        <v>426</v>
      </c>
    </row>
    <row r="121" spans="2:183" ht="16.5" thickBot="1" x14ac:dyDescent="0.3">
      <c r="B121" s="354"/>
      <c r="C121" s="354"/>
      <c r="D121" s="354"/>
      <c r="E121" s="354"/>
      <c r="F121" s="354"/>
      <c r="G121" s="354"/>
      <c r="H121" s="354"/>
      <c r="I121" s="354"/>
      <c r="K121" s="657"/>
      <c r="L121" s="657"/>
      <c r="M121" s="657"/>
      <c r="N121" s="657"/>
      <c r="O121" s="657"/>
      <c r="BK121" s="568" t="str">
        <f>+BK120</f>
        <v>EX07</v>
      </c>
      <c r="BL121" s="569">
        <v>0.25347222222222221</v>
      </c>
      <c r="BM121" s="570">
        <v>45668</v>
      </c>
      <c r="BN121" s="568">
        <v>120</v>
      </c>
      <c r="BO121" s="568">
        <v>9787</v>
      </c>
      <c r="BP121" s="825">
        <f t="shared" si="59"/>
        <v>19</v>
      </c>
      <c r="BQ121" s="568">
        <v>7726</v>
      </c>
      <c r="BR121" s="568" t="str">
        <f t="shared" si="65"/>
        <v>JAVIER</v>
      </c>
      <c r="BS121" s="568" t="str">
        <f t="shared" si="65"/>
        <v>CENTRO</v>
      </c>
      <c r="BV121" s="841" t="s">
        <v>306</v>
      </c>
      <c r="BW121" s="569">
        <v>0.48680555555555555</v>
      </c>
      <c r="BX121" s="570">
        <v>45589</v>
      </c>
      <c r="BY121" s="568">
        <v>77</v>
      </c>
      <c r="BZ121" s="568"/>
      <c r="CA121" s="549">
        <f t="shared" si="58"/>
        <v>0</v>
      </c>
      <c r="CB121" s="568">
        <v>6805</v>
      </c>
      <c r="CC121" s="568" t="s">
        <v>320</v>
      </c>
      <c r="CD121" s="568" t="s">
        <v>320</v>
      </c>
      <c r="CH121" s="451">
        <v>0.39513888888888887</v>
      </c>
      <c r="CI121" s="421">
        <v>45771</v>
      </c>
      <c r="CJ121" s="452">
        <v>135</v>
      </c>
      <c r="CK121" s="452">
        <v>2559</v>
      </c>
      <c r="CL121" s="527">
        <f t="shared" si="63"/>
        <v>25</v>
      </c>
      <c r="CM121" s="452">
        <v>9569</v>
      </c>
      <c r="CN121" s="452" t="s">
        <v>406</v>
      </c>
      <c r="CO121" s="452" t="s">
        <v>687</v>
      </c>
      <c r="DO121" s="426">
        <v>0.70694444444444449</v>
      </c>
      <c r="DP121" s="408">
        <v>46042</v>
      </c>
      <c r="DQ121" s="385">
        <v>235</v>
      </c>
      <c r="DR121" s="385">
        <v>3062</v>
      </c>
      <c r="DS121" s="511">
        <f t="shared" si="56"/>
        <v>11</v>
      </c>
      <c r="DT121" s="385">
        <v>10631</v>
      </c>
      <c r="DU121" s="385" t="s">
        <v>61</v>
      </c>
      <c r="DV121" s="385" t="s">
        <v>172</v>
      </c>
      <c r="DW121" s="348" t="s">
        <v>699</v>
      </c>
      <c r="DX121" s="597" t="s">
        <v>564</v>
      </c>
      <c r="DY121" s="598">
        <v>1025</v>
      </c>
      <c r="DZ121" s="824">
        <v>45790</v>
      </c>
      <c r="EW121" s="419" t="s">
        <v>63</v>
      </c>
      <c r="EX121" s="452" t="s">
        <v>333</v>
      </c>
      <c r="EY121" s="421">
        <v>45692</v>
      </c>
      <c r="EZ121" s="452">
        <v>49</v>
      </c>
      <c r="FA121" s="452"/>
      <c r="FB121" s="402">
        <f t="shared" si="64"/>
        <v>0</v>
      </c>
      <c r="FC121" s="452">
        <v>9923</v>
      </c>
      <c r="FD121" s="452" t="s">
        <v>333</v>
      </c>
      <c r="FE121" s="452" t="s">
        <v>426</v>
      </c>
    </row>
    <row r="122" spans="2:183" x14ac:dyDescent="0.25">
      <c r="B122" s="354"/>
      <c r="C122" s="354"/>
      <c r="D122" s="354"/>
      <c r="E122" s="354"/>
      <c r="F122" s="354"/>
      <c r="G122" s="354"/>
      <c r="H122" s="354"/>
      <c r="I122" s="354"/>
      <c r="BK122" s="568" t="s">
        <v>503</v>
      </c>
      <c r="BL122" s="569">
        <v>0.30972222222222223</v>
      </c>
      <c r="BM122" s="570">
        <v>45673</v>
      </c>
      <c r="BN122" s="568">
        <v>111</v>
      </c>
      <c r="BO122" s="568">
        <v>9818</v>
      </c>
      <c r="BP122" s="825">
        <f t="shared" si="59"/>
        <v>31</v>
      </c>
      <c r="BQ122" s="568">
        <v>12089</v>
      </c>
      <c r="BR122" s="568" t="str">
        <f t="shared" si="65"/>
        <v>JAVIER</v>
      </c>
      <c r="BS122" s="568" t="str">
        <f t="shared" si="65"/>
        <v>CENTRO</v>
      </c>
      <c r="BW122" s="569">
        <v>0.59027777777777779</v>
      </c>
      <c r="BX122" s="570">
        <v>45593</v>
      </c>
      <c r="BY122" s="568">
        <v>40</v>
      </c>
      <c r="BZ122" s="568">
        <v>0</v>
      </c>
      <c r="CA122" s="549">
        <f t="shared" si="58"/>
        <v>0</v>
      </c>
      <c r="CB122" s="568">
        <v>6832</v>
      </c>
      <c r="CC122" s="568" t="str">
        <f>+CC121</f>
        <v>taller</v>
      </c>
      <c r="CD122" s="568" t="s">
        <v>700</v>
      </c>
      <c r="CG122" s="442" t="s">
        <v>697</v>
      </c>
      <c r="CH122" s="451">
        <v>0.43333333333333335</v>
      </c>
      <c r="CI122" s="421">
        <v>45777</v>
      </c>
      <c r="CJ122" s="452">
        <v>120</v>
      </c>
      <c r="CK122" s="452">
        <v>2593</v>
      </c>
      <c r="CL122" s="527">
        <f t="shared" si="63"/>
        <v>34</v>
      </c>
      <c r="CM122" s="452">
        <v>9632</v>
      </c>
      <c r="CN122" s="452" t="s">
        <v>406</v>
      </c>
      <c r="CO122" s="452"/>
      <c r="CP122" s="453"/>
      <c r="DM122" s="348">
        <f>8*240</f>
        <v>1920</v>
      </c>
      <c r="DO122" s="426">
        <v>0.70208333333333328</v>
      </c>
      <c r="DP122" s="408">
        <v>46045</v>
      </c>
      <c r="DQ122" s="385">
        <v>326</v>
      </c>
      <c r="DR122" s="385">
        <v>3086</v>
      </c>
      <c r="DS122" s="511">
        <f t="shared" si="56"/>
        <v>24</v>
      </c>
      <c r="DT122" s="385">
        <v>10656</v>
      </c>
      <c r="DU122" s="385" t="s">
        <v>61</v>
      </c>
      <c r="DV122" s="385" t="s">
        <v>172</v>
      </c>
      <c r="EX122" s="452" t="s">
        <v>333</v>
      </c>
      <c r="EY122" s="452"/>
      <c r="EZ122" s="452">
        <v>13</v>
      </c>
      <c r="FA122" s="452"/>
      <c r="FB122" s="402">
        <f t="shared" si="64"/>
        <v>0</v>
      </c>
      <c r="FC122" s="452">
        <v>8358</v>
      </c>
      <c r="FD122" s="452" t="s">
        <v>435</v>
      </c>
      <c r="FE122" s="452" t="s">
        <v>149</v>
      </c>
    </row>
    <row r="123" spans="2:183" x14ac:dyDescent="0.25">
      <c r="B123" s="354"/>
      <c r="C123" s="354"/>
      <c r="D123" s="354"/>
      <c r="E123" s="354"/>
      <c r="F123" s="354"/>
      <c r="G123" s="354"/>
      <c r="H123" s="354"/>
      <c r="I123" s="354"/>
      <c r="BK123" s="737" t="s">
        <v>503</v>
      </c>
      <c r="BL123" s="426">
        <v>0.41666666666666669</v>
      </c>
      <c r="BM123" s="408">
        <v>45675</v>
      </c>
      <c r="BN123" s="385">
        <v>100</v>
      </c>
      <c r="BO123" s="842">
        <v>9836</v>
      </c>
      <c r="BP123" s="676">
        <f t="shared" si="59"/>
        <v>18</v>
      </c>
      <c r="BQ123" s="385">
        <v>8228</v>
      </c>
      <c r="BR123" s="385" t="s">
        <v>168</v>
      </c>
      <c r="BS123" s="385" t="s">
        <v>680</v>
      </c>
      <c r="BT123" s="348" t="s">
        <v>562</v>
      </c>
      <c r="BW123" s="569">
        <v>0.39583333333333331</v>
      </c>
      <c r="BX123" s="570">
        <v>45596</v>
      </c>
      <c r="BY123" s="568">
        <v>111</v>
      </c>
      <c r="BZ123" s="568">
        <v>0</v>
      </c>
      <c r="CA123" s="549">
        <f t="shared" si="58"/>
        <v>0</v>
      </c>
      <c r="CB123" s="568">
        <v>7042</v>
      </c>
      <c r="CC123" s="568" t="s">
        <v>701</v>
      </c>
      <c r="CD123" s="568" t="s">
        <v>702</v>
      </c>
      <c r="CG123" s="442" t="s">
        <v>697</v>
      </c>
      <c r="CH123" s="426">
        <v>0.51944444444444449</v>
      </c>
      <c r="CI123" s="408">
        <v>45789</v>
      </c>
      <c r="CJ123" s="385">
        <v>140</v>
      </c>
      <c r="CK123" s="385">
        <v>2617</v>
      </c>
      <c r="CL123" s="527">
        <f t="shared" si="63"/>
        <v>24</v>
      </c>
      <c r="CM123" s="385">
        <v>9797</v>
      </c>
      <c r="CN123" s="385" t="s">
        <v>406</v>
      </c>
      <c r="CO123" s="385" t="s">
        <v>703</v>
      </c>
      <c r="DN123" s="442" t="s">
        <v>285</v>
      </c>
      <c r="DO123" s="426">
        <v>0.65416666666666667</v>
      </c>
      <c r="DP123" s="408">
        <v>46058</v>
      </c>
      <c r="DQ123" s="385">
        <v>319</v>
      </c>
      <c r="DR123" s="385">
        <v>3113</v>
      </c>
      <c r="DS123" s="511">
        <f t="shared" si="56"/>
        <v>27</v>
      </c>
      <c r="DT123" s="385">
        <v>10448</v>
      </c>
      <c r="DU123" s="385" t="s">
        <v>61</v>
      </c>
      <c r="DV123" s="385" t="s">
        <v>101</v>
      </c>
      <c r="EW123" s="419" t="s">
        <v>63</v>
      </c>
      <c r="EX123" s="426"/>
      <c r="EY123" s="408">
        <v>45752</v>
      </c>
      <c r="EZ123" s="385">
        <v>56</v>
      </c>
      <c r="FA123" s="385">
        <v>5783</v>
      </c>
      <c r="FB123" s="407">
        <f t="shared" si="64"/>
        <v>444.84615384615387</v>
      </c>
      <c r="FC123" s="385">
        <v>12106</v>
      </c>
      <c r="FD123" s="385" t="s">
        <v>626</v>
      </c>
      <c r="FE123" s="385" t="s">
        <v>704</v>
      </c>
    </row>
    <row r="124" spans="2:183" ht="16.5" thickBot="1" x14ac:dyDescent="0.3">
      <c r="B124" s="354"/>
      <c r="C124" s="354"/>
      <c r="D124" s="354"/>
      <c r="E124" s="354"/>
      <c r="F124" s="354"/>
      <c r="G124" s="354"/>
      <c r="H124" s="354"/>
      <c r="I124" s="354"/>
      <c r="K124" s="657"/>
      <c r="L124" s="657"/>
      <c r="M124" s="657"/>
      <c r="N124" s="657"/>
      <c r="O124" s="657"/>
      <c r="BL124" s="426">
        <v>0.45833333333333331</v>
      </c>
      <c r="BM124" s="408">
        <v>45678</v>
      </c>
      <c r="BN124" s="385">
        <v>86</v>
      </c>
      <c r="BO124" s="385">
        <v>9850</v>
      </c>
      <c r="BP124" s="676">
        <f t="shared" si="59"/>
        <v>14</v>
      </c>
      <c r="BQ124" s="385">
        <v>13030</v>
      </c>
      <c r="BR124" s="385" t="s">
        <v>168</v>
      </c>
      <c r="BS124" s="385" t="s">
        <v>680</v>
      </c>
      <c r="BT124" s="348" t="s">
        <v>705</v>
      </c>
      <c r="BW124" s="569">
        <v>0.56944444444444442</v>
      </c>
      <c r="BX124" s="570">
        <v>45602</v>
      </c>
      <c r="BY124" s="568">
        <v>120</v>
      </c>
      <c r="BZ124" s="568">
        <v>10412.5</v>
      </c>
      <c r="CA124" s="549">
        <f t="shared" si="58"/>
        <v>93.806306306306311</v>
      </c>
      <c r="CB124" s="568">
        <v>7265</v>
      </c>
      <c r="CC124" s="568" t="s">
        <v>706</v>
      </c>
      <c r="CD124" s="568" t="str">
        <f>+CD123</f>
        <v xml:space="preserve">nissan  </v>
      </c>
      <c r="CH124" s="426">
        <v>0.45833333333333331</v>
      </c>
      <c r="CI124" s="408">
        <v>45792</v>
      </c>
      <c r="CJ124" s="385">
        <v>185</v>
      </c>
      <c r="CK124" s="385">
        <v>2643</v>
      </c>
      <c r="CL124" s="527">
        <f t="shared" si="63"/>
        <v>26</v>
      </c>
      <c r="CM124" s="385">
        <v>9333</v>
      </c>
      <c r="CN124" s="385" t="s">
        <v>406</v>
      </c>
      <c r="CO124" s="385" t="s">
        <v>703</v>
      </c>
      <c r="DN124" s="442" t="s">
        <v>285</v>
      </c>
      <c r="DO124" s="426">
        <v>0.38194444444444442</v>
      </c>
      <c r="DP124" s="408">
        <v>46062</v>
      </c>
      <c r="DQ124" s="385">
        <v>278</v>
      </c>
      <c r="DR124" s="385">
        <v>3130</v>
      </c>
      <c r="DS124" s="511">
        <f t="shared" si="56"/>
        <v>17</v>
      </c>
      <c r="DT124" s="385">
        <v>10527</v>
      </c>
      <c r="DU124" s="385" t="s">
        <v>61</v>
      </c>
      <c r="DV124" s="385" t="s">
        <v>101</v>
      </c>
      <c r="EX124" s="426">
        <v>0.51388888888888884</v>
      </c>
      <c r="EY124" s="408">
        <v>45755</v>
      </c>
      <c r="EZ124" s="385">
        <v>34</v>
      </c>
      <c r="FA124" s="385">
        <v>5794</v>
      </c>
      <c r="FB124" s="407">
        <f t="shared" si="64"/>
        <v>0.19642857142857142</v>
      </c>
      <c r="FC124" s="385">
        <v>12126</v>
      </c>
      <c r="FD124" s="385" t="s">
        <v>626</v>
      </c>
      <c r="FE124" s="385" t="s">
        <v>704</v>
      </c>
    </row>
    <row r="125" spans="2:183" ht="16.5" thickBot="1" x14ac:dyDescent="0.3">
      <c r="B125" s="354"/>
      <c r="C125" s="354"/>
      <c r="D125" s="354"/>
      <c r="E125" s="354"/>
      <c r="F125" s="354"/>
      <c r="G125" s="354"/>
      <c r="H125" s="354"/>
      <c r="I125" s="354"/>
      <c r="K125" s="657"/>
      <c r="L125" s="657"/>
      <c r="M125" s="657"/>
      <c r="N125" s="657"/>
      <c r="O125" s="657"/>
      <c r="BL125" s="426">
        <v>0.65833333333333333</v>
      </c>
      <c r="BM125" s="408">
        <v>45680</v>
      </c>
      <c r="BN125" s="385">
        <v>109</v>
      </c>
      <c r="BO125" s="385">
        <v>9867</v>
      </c>
      <c r="BP125" s="676">
        <f t="shared" si="59"/>
        <v>17</v>
      </c>
      <c r="BQ125" s="385">
        <v>14009</v>
      </c>
      <c r="BR125" s="385" t="s">
        <v>168</v>
      </c>
      <c r="BS125" s="385" t="s">
        <v>680</v>
      </c>
      <c r="BT125" s="348" t="s">
        <v>705</v>
      </c>
      <c r="BV125" s="843" t="s">
        <v>306</v>
      </c>
      <c r="BW125" s="569">
        <v>0.6118055555555556</v>
      </c>
      <c r="BX125" s="570">
        <v>45610</v>
      </c>
      <c r="BY125" s="568">
        <v>104</v>
      </c>
      <c r="BZ125" s="568">
        <v>10427.700000000001</v>
      </c>
      <c r="CA125" s="549">
        <f t="shared" si="58"/>
        <v>0.12666666666667273</v>
      </c>
      <c r="CB125" s="568">
        <v>7609</v>
      </c>
      <c r="CC125" s="568" t="str">
        <f>+CC124</f>
        <v xml:space="preserve">MANUEL </v>
      </c>
      <c r="CD125" s="568" t="str">
        <f>+CD124</f>
        <v xml:space="preserve">nissan  </v>
      </c>
      <c r="CG125" s="442" t="s">
        <v>697</v>
      </c>
      <c r="CH125" s="426">
        <v>0.40555555555555556</v>
      </c>
      <c r="CI125" s="408">
        <v>45794</v>
      </c>
      <c r="CJ125" s="385">
        <v>117</v>
      </c>
      <c r="CK125" s="385">
        <v>2658</v>
      </c>
      <c r="CL125" s="527">
        <f t="shared" si="63"/>
        <v>15</v>
      </c>
      <c r="CM125" s="385">
        <v>9816</v>
      </c>
      <c r="CN125" s="385" t="s">
        <v>406</v>
      </c>
      <c r="CO125" s="385" t="s">
        <v>408</v>
      </c>
      <c r="DO125" s="426">
        <v>0.34236111111111112</v>
      </c>
      <c r="DP125" s="408">
        <v>46064</v>
      </c>
      <c r="DQ125" s="385">
        <v>310</v>
      </c>
      <c r="DR125" s="385">
        <v>3146</v>
      </c>
      <c r="DS125" s="511">
        <f t="shared" si="56"/>
        <v>16</v>
      </c>
      <c r="DT125" s="385">
        <v>10539</v>
      </c>
      <c r="DU125" s="385" t="s">
        <v>61</v>
      </c>
      <c r="DV125" s="385" t="s">
        <v>101</v>
      </c>
      <c r="EX125" s="426">
        <v>0.51388888888888884</v>
      </c>
      <c r="EY125" s="408">
        <v>45699</v>
      </c>
      <c r="EZ125" s="385">
        <v>53</v>
      </c>
      <c r="FA125" s="385">
        <v>5812</v>
      </c>
      <c r="FB125" s="407">
        <f t="shared" si="64"/>
        <v>0.52941176470588236</v>
      </c>
      <c r="FC125" s="385">
        <v>7471</v>
      </c>
      <c r="FD125" s="385" t="s">
        <v>626</v>
      </c>
      <c r="FE125" s="385" t="s">
        <v>704</v>
      </c>
    </row>
    <row r="126" spans="2:183" ht="16.5" thickBot="1" x14ac:dyDescent="0.3">
      <c r="B126" s="354"/>
      <c r="C126" s="354"/>
      <c r="D126" s="354"/>
      <c r="E126" s="354"/>
      <c r="F126" s="354"/>
      <c r="G126" s="354"/>
      <c r="H126" s="354"/>
      <c r="I126" s="354"/>
      <c r="K126" s="657"/>
      <c r="L126" s="657"/>
      <c r="M126" s="657"/>
      <c r="N126" s="657"/>
      <c r="O126" s="657"/>
      <c r="BL126" s="426">
        <v>0.69444444444444442</v>
      </c>
      <c r="BM126" s="408">
        <v>45681</v>
      </c>
      <c r="BN126" s="385">
        <v>95</v>
      </c>
      <c r="BO126" s="842">
        <v>9883</v>
      </c>
      <c r="BP126" s="676">
        <f t="shared" si="59"/>
        <v>16</v>
      </c>
      <c r="BQ126" s="385">
        <v>14019</v>
      </c>
      <c r="BR126" s="385" t="s">
        <v>168</v>
      </c>
      <c r="BS126" s="385" t="s">
        <v>680</v>
      </c>
      <c r="BT126" s="348" t="s">
        <v>705</v>
      </c>
      <c r="BW126" s="569">
        <v>0.36875000000000002</v>
      </c>
      <c r="BX126" s="570">
        <v>45622</v>
      </c>
      <c r="BY126" s="568">
        <v>136</v>
      </c>
      <c r="BZ126" s="568">
        <v>10458</v>
      </c>
      <c r="CA126" s="549">
        <f t="shared" si="58"/>
        <v>0.29134615384614687</v>
      </c>
      <c r="CB126" s="568">
        <v>7913</v>
      </c>
      <c r="CC126" s="568" t="s">
        <v>706</v>
      </c>
      <c r="CD126" s="568" t="str">
        <f>+CD125</f>
        <v xml:space="preserve">nissan  </v>
      </c>
      <c r="CH126" s="426">
        <v>0.52083333333333337</v>
      </c>
      <c r="CI126" s="408">
        <v>45798</v>
      </c>
      <c r="CJ126" s="385">
        <v>151</v>
      </c>
      <c r="CK126" s="385">
        <v>2684</v>
      </c>
      <c r="CL126" s="527">
        <f t="shared" si="63"/>
        <v>26</v>
      </c>
      <c r="CM126" s="385">
        <v>12160</v>
      </c>
      <c r="CN126" s="385" t="s">
        <v>406</v>
      </c>
      <c r="CO126" s="385" t="s">
        <v>408</v>
      </c>
      <c r="DO126" s="426">
        <v>0.72222222222222221</v>
      </c>
      <c r="DP126" s="408">
        <v>46066</v>
      </c>
      <c r="DQ126" s="385">
        <v>316</v>
      </c>
      <c r="DR126" s="385">
        <v>3167</v>
      </c>
      <c r="DS126" s="511">
        <f t="shared" si="56"/>
        <v>21</v>
      </c>
      <c r="DT126" s="385">
        <v>10461</v>
      </c>
      <c r="DU126" s="385" t="s">
        <v>61</v>
      </c>
      <c r="DV126" s="385" t="s">
        <v>101</v>
      </c>
      <c r="EW126" s="419" t="s">
        <v>287</v>
      </c>
      <c r="EX126" s="451">
        <v>0.56111111111111112</v>
      </c>
      <c r="EY126" s="421">
        <v>45761</v>
      </c>
      <c r="EZ126" s="452">
        <v>37</v>
      </c>
      <c r="FA126" s="452">
        <v>5820</v>
      </c>
      <c r="FB126" s="402">
        <f t="shared" si="64"/>
        <v>0.15094339622641509</v>
      </c>
      <c r="FC126" s="452">
        <v>7492</v>
      </c>
      <c r="FD126" s="452" t="s">
        <v>626</v>
      </c>
      <c r="FE126" s="452" t="s">
        <v>704</v>
      </c>
      <c r="GA126" s="613" t="s">
        <v>707</v>
      </c>
    </row>
    <row r="127" spans="2:183" ht="16.5" thickBot="1" x14ac:dyDescent="0.3">
      <c r="B127" s="354"/>
      <c r="C127" s="354"/>
      <c r="D127" s="354"/>
      <c r="E127" s="354"/>
      <c r="F127" s="354"/>
      <c r="G127" s="354"/>
      <c r="H127" s="354"/>
      <c r="I127" s="354"/>
      <c r="K127" s="657"/>
      <c r="L127" s="657"/>
      <c r="M127" s="657"/>
      <c r="N127" s="657"/>
      <c r="O127" s="657"/>
      <c r="BK127" s="737" t="s">
        <v>503</v>
      </c>
      <c r="BL127" s="451">
        <v>0.43055555555555558</v>
      </c>
      <c r="BM127" s="421">
        <v>45684</v>
      </c>
      <c r="BN127" s="452">
        <v>28</v>
      </c>
      <c r="BO127" s="452">
        <v>9889</v>
      </c>
      <c r="BP127" s="452">
        <f t="shared" si="59"/>
        <v>6</v>
      </c>
      <c r="BQ127" s="452">
        <v>14029</v>
      </c>
      <c r="BR127" s="452" t="s">
        <v>308</v>
      </c>
      <c r="BS127" s="452" t="s">
        <v>680</v>
      </c>
      <c r="BV127" s="843" t="str">
        <f>+BV125</f>
        <v xml:space="preserve">EX08 </v>
      </c>
      <c r="BW127" s="569">
        <v>0.3659722222222222</v>
      </c>
      <c r="BX127" s="570">
        <v>45640</v>
      </c>
      <c r="BY127" s="568">
        <v>78</v>
      </c>
      <c r="BZ127" s="568">
        <v>10487</v>
      </c>
      <c r="CA127" s="549">
        <f t="shared" si="58"/>
        <v>0.21323529411764705</v>
      </c>
      <c r="CB127" s="568">
        <v>8014</v>
      </c>
      <c r="CC127" s="568" t="str">
        <f>+CC126</f>
        <v xml:space="preserve">MANUEL </v>
      </c>
      <c r="CD127" s="568" t="s">
        <v>320</v>
      </c>
      <c r="CG127" s="442" t="s">
        <v>697</v>
      </c>
      <c r="CH127" s="426">
        <v>0.38472222222222224</v>
      </c>
      <c r="CI127" s="408">
        <v>45801</v>
      </c>
      <c r="CJ127" s="385">
        <v>152</v>
      </c>
      <c r="CK127" s="385">
        <v>2708</v>
      </c>
      <c r="CL127" s="527">
        <f t="shared" si="63"/>
        <v>24</v>
      </c>
      <c r="CM127" s="385">
        <v>9356</v>
      </c>
      <c r="CN127" s="385" t="s">
        <v>406</v>
      </c>
      <c r="CO127" s="385" t="s">
        <v>408</v>
      </c>
      <c r="DN127" s="442" t="s">
        <v>285</v>
      </c>
      <c r="DO127" s="487"/>
      <c r="DP127" s="488">
        <v>46070</v>
      </c>
      <c r="DQ127" s="410">
        <v>297</v>
      </c>
      <c r="DR127" s="410">
        <v>3187</v>
      </c>
      <c r="DS127" s="844">
        <f t="shared" si="56"/>
        <v>20</v>
      </c>
      <c r="DT127" s="410">
        <v>10490</v>
      </c>
      <c r="DU127" s="410" t="s">
        <v>61</v>
      </c>
      <c r="DV127" s="410" t="s">
        <v>101</v>
      </c>
      <c r="DW127" s="348" t="s">
        <v>708</v>
      </c>
      <c r="EX127" s="451">
        <v>0.54166666666666663</v>
      </c>
      <c r="EY127" s="421">
        <v>45764</v>
      </c>
      <c r="EZ127" s="452">
        <v>73</v>
      </c>
      <c r="FA127" s="452">
        <v>5839</v>
      </c>
      <c r="FB127" s="402">
        <f t="shared" si="64"/>
        <v>0.51351351351351349</v>
      </c>
      <c r="FC127" s="452">
        <v>10130</v>
      </c>
      <c r="FD127" s="452" t="s">
        <v>626</v>
      </c>
      <c r="FE127" s="452" t="s">
        <v>704</v>
      </c>
    </row>
    <row r="128" spans="2:183" ht="16.5" thickBot="1" x14ac:dyDescent="0.3">
      <c r="B128" s="354"/>
      <c r="C128" s="354"/>
      <c r="D128" s="354"/>
      <c r="E128" s="354"/>
      <c r="F128" s="354"/>
      <c r="G128" s="354"/>
      <c r="H128" s="354"/>
      <c r="I128" s="354"/>
      <c r="K128" s="657"/>
      <c r="L128" s="657"/>
      <c r="M128" s="657"/>
      <c r="N128" s="657"/>
      <c r="O128" s="657"/>
      <c r="BL128" s="451">
        <v>0.4777777777777778</v>
      </c>
      <c r="BM128" s="421">
        <v>45685</v>
      </c>
      <c r="BN128" s="452">
        <v>93</v>
      </c>
      <c r="BO128" s="452">
        <v>9899</v>
      </c>
      <c r="BP128" s="452">
        <f t="shared" si="59"/>
        <v>10</v>
      </c>
      <c r="BQ128" s="452">
        <v>14035</v>
      </c>
      <c r="BR128" s="452" t="s">
        <v>308</v>
      </c>
      <c r="BS128" s="452" t="s">
        <v>680</v>
      </c>
      <c r="BW128" s="569">
        <v>0.5</v>
      </c>
      <c r="BX128" s="570">
        <v>45654</v>
      </c>
      <c r="BY128" s="568">
        <v>125</v>
      </c>
      <c r="BZ128" s="568">
        <v>0</v>
      </c>
      <c r="CA128" s="549">
        <f t="shared" si="58"/>
        <v>-134.44871794871796</v>
      </c>
      <c r="CB128" s="568">
        <v>9188</v>
      </c>
      <c r="CC128" s="568" t="s">
        <v>706</v>
      </c>
      <c r="CD128" s="568" t="s">
        <v>371</v>
      </c>
      <c r="CH128" s="451">
        <v>0.39861111111111114</v>
      </c>
      <c r="CI128" s="421">
        <v>45804</v>
      </c>
      <c r="CJ128" s="452">
        <v>105</v>
      </c>
      <c r="CK128" s="452">
        <v>2724</v>
      </c>
      <c r="CL128" s="527">
        <f t="shared" si="63"/>
        <v>16</v>
      </c>
      <c r="CM128" s="452">
        <v>9382</v>
      </c>
      <c r="CN128" s="452" t="s">
        <v>406</v>
      </c>
      <c r="CO128" s="452" t="s">
        <v>408</v>
      </c>
      <c r="CP128" s="845" t="s">
        <v>95</v>
      </c>
      <c r="DO128" s="426">
        <v>0.66111111111111109</v>
      </c>
      <c r="DP128" s="408">
        <v>46072</v>
      </c>
      <c r="DQ128" s="385">
        <v>325</v>
      </c>
      <c r="DR128" s="385">
        <v>3205</v>
      </c>
      <c r="DS128" s="511">
        <f t="shared" si="56"/>
        <v>18</v>
      </c>
      <c r="DT128" s="385">
        <v>9715</v>
      </c>
      <c r="DU128" s="385" t="s">
        <v>61</v>
      </c>
      <c r="DV128" s="385" t="s">
        <v>101</v>
      </c>
      <c r="EX128" s="451">
        <v>0.38055555555555554</v>
      </c>
      <c r="EY128" s="421">
        <v>45765</v>
      </c>
      <c r="EZ128" s="452">
        <v>15</v>
      </c>
      <c r="FA128" s="452">
        <v>5844</v>
      </c>
      <c r="FB128" s="402">
        <f t="shared" si="64"/>
        <v>6.8493150684931503E-2</v>
      </c>
      <c r="FC128" s="452">
        <v>9504</v>
      </c>
      <c r="FD128" s="452" t="s">
        <v>626</v>
      </c>
      <c r="FE128" s="452" t="s">
        <v>704</v>
      </c>
    </row>
    <row r="129" spans="2:183" ht="16.5" thickBot="1" x14ac:dyDescent="0.3">
      <c r="B129" s="354"/>
      <c r="C129" s="354"/>
      <c r="D129" s="354"/>
      <c r="E129" s="354"/>
      <c r="F129" s="354"/>
      <c r="G129" s="354"/>
      <c r="H129" s="354"/>
      <c r="I129" s="354"/>
      <c r="K129" s="657"/>
      <c r="L129" s="657"/>
      <c r="M129" s="657"/>
      <c r="N129" s="657"/>
      <c r="O129" s="657"/>
      <c r="BL129" s="452"/>
      <c r="BM129" s="421">
        <v>45687</v>
      </c>
      <c r="BN129" s="452">
        <v>98</v>
      </c>
      <c r="BO129" s="452">
        <v>9910</v>
      </c>
      <c r="BP129" s="452">
        <f t="shared" si="59"/>
        <v>11</v>
      </c>
      <c r="BQ129" s="452">
        <v>14048</v>
      </c>
      <c r="BR129" s="452" t="s">
        <v>308</v>
      </c>
      <c r="BS129" s="452" t="s">
        <v>680</v>
      </c>
      <c r="BV129" s="846" t="str">
        <f>+BV127</f>
        <v xml:space="preserve">EX08 </v>
      </c>
      <c r="BW129" s="569">
        <v>0.47361111111111109</v>
      </c>
      <c r="BX129" s="570">
        <v>45660</v>
      </c>
      <c r="BY129" s="568">
        <v>124</v>
      </c>
      <c r="BZ129" s="568">
        <v>0</v>
      </c>
      <c r="CA129" s="549">
        <f t="shared" si="58"/>
        <v>0</v>
      </c>
      <c r="CB129" s="568">
        <v>12044</v>
      </c>
      <c r="CC129" s="568" t="str">
        <f t="shared" ref="CC129:CD131" si="66">+CC128</f>
        <v xml:space="preserve">MANUEL </v>
      </c>
      <c r="CD129" s="568" t="str">
        <f t="shared" si="66"/>
        <v>BANORTE</v>
      </c>
      <c r="CG129" s="442" t="s">
        <v>697</v>
      </c>
      <c r="CH129" s="426">
        <v>0.52083333333333337</v>
      </c>
      <c r="CI129" s="408">
        <v>45845</v>
      </c>
      <c r="CJ129" s="385">
        <v>83</v>
      </c>
      <c r="CK129" s="385">
        <v>2764</v>
      </c>
      <c r="CL129" s="527">
        <f t="shared" si="63"/>
        <v>40</v>
      </c>
      <c r="CM129" s="385">
        <v>9636</v>
      </c>
      <c r="CN129" s="385" t="s">
        <v>406</v>
      </c>
      <c r="CO129" s="385" t="s">
        <v>149</v>
      </c>
      <c r="CP129" s="348" t="s">
        <v>709</v>
      </c>
      <c r="DN129" s="442" t="s">
        <v>285</v>
      </c>
      <c r="DO129" s="847">
        <v>0.32500000000000001</v>
      </c>
      <c r="DP129" s="848">
        <v>46076</v>
      </c>
      <c r="DQ129" s="849">
        <v>242</v>
      </c>
      <c r="DR129" s="849">
        <v>3219</v>
      </c>
      <c r="DS129" s="850">
        <f t="shared" si="56"/>
        <v>14</v>
      </c>
      <c r="DT129" s="849">
        <v>9744</v>
      </c>
      <c r="DU129" s="849" t="s">
        <v>61</v>
      </c>
      <c r="DV129" s="849" t="s">
        <v>101</v>
      </c>
      <c r="EW129" s="419" t="s">
        <v>287</v>
      </c>
      <c r="EX129" s="451"/>
      <c r="EY129" s="421">
        <v>45768</v>
      </c>
      <c r="EZ129" s="452">
        <v>64</v>
      </c>
      <c r="FA129" s="452">
        <v>5862</v>
      </c>
      <c r="FB129" s="402">
        <f t="shared" si="64"/>
        <v>1.2</v>
      </c>
      <c r="FC129" s="452">
        <v>9527</v>
      </c>
      <c r="FD129" s="452" t="s">
        <v>626</v>
      </c>
      <c r="FE129" s="452" t="s">
        <v>710</v>
      </c>
    </row>
    <row r="130" spans="2:183" x14ac:dyDescent="0.25">
      <c r="B130" s="354"/>
      <c r="C130" s="354"/>
      <c r="D130" s="354"/>
      <c r="E130" s="354"/>
      <c r="F130" s="354"/>
      <c r="G130" s="354"/>
      <c r="H130" s="354"/>
      <c r="I130" s="354"/>
      <c r="K130" s="657"/>
      <c r="L130" s="657"/>
      <c r="M130" s="657"/>
      <c r="N130" s="657"/>
      <c r="O130" s="657"/>
      <c r="BK130" s="737" t="s">
        <v>503</v>
      </c>
      <c r="BL130" s="451">
        <v>0.37708333333333333</v>
      </c>
      <c r="BM130" s="421">
        <v>45689</v>
      </c>
      <c r="BN130" s="452">
        <v>105</v>
      </c>
      <c r="BO130" s="452">
        <v>9922</v>
      </c>
      <c r="BP130" s="452">
        <f t="shared" si="59"/>
        <v>12</v>
      </c>
      <c r="BQ130" s="452">
        <v>9019</v>
      </c>
      <c r="BR130" s="452" t="s">
        <v>406</v>
      </c>
      <c r="BS130" s="452" t="s">
        <v>680</v>
      </c>
      <c r="BV130" s="348" t="str">
        <f>+BV129</f>
        <v xml:space="preserve">EX08 </v>
      </c>
      <c r="BW130" s="569">
        <v>0.7319444444444444</v>
      </c>
      <c r="BX130" s="570">
        <v>45663</v>
      </c>
      <c r="BY130" s="568">
        <v>117</v>
      </c>
      <c r="BZ130" s="568">
        <v>0</v>
      </c>
      <c r="CA130" s="549">
        <f t="shared" si="58"/>
        <v>0</v>
      </c>
      <c r="CB130" s="568">
        <v>15014</v>
      </c>
      <c r="CC130" s="568" t="str">
        <f t="shared" si="66"/>
        <v xml:space="preserve">MANUEL </v>
      </c>
      <c r="CD130" s="568" t="str">
        <f t="shared" si="66"/>
        <v>BANORTE</v>
      </c>
      <c r="CH130" s="426">
        <v>0.61805555555555558</v>
      </c>
      <c r="CI130" s="851">
        <v>45848</v>
      </c>
      <c r="CJ130" s="448">
        <v>161</v>
      </c>
      <c r="CK130" s="448">
        <v>2784</v>
      </c>
      <c r="CL130" s="527">
        <f t="shared" si="63"/>
        <v>20</v>
      </c>
      <c r="CM130" s="385">
        <v>10123</v>
      </c>
      <c r="CN130" s="385" t="s">
        <v>406</v>
      </c>
      <c r="CO130" s="385" t="s">
        <v>711</v>
      </c>
      <c r="DO130" s="847">
        <v>0.57916666666666672</v>
      </c>
      <c r="DP130" s="848">
        <v>46078</v>
      </c>
      <c r="DQ130" s="849">
        <v>315</v>
      </c>
      <c r="DR130" s="849">
        <v>3241</v>
      </c>
      <c r="DS130" s="850">
        <f t="shared" si="56"/>
        <v>22</v>
      </c>
      <c r="DT130" s="849">
        <v>13314</v>
      </c>
      <c r="DU130" s="849" t="s">
        <v>61</v>
      </c>
      <c r="DV130" s="849" t="s">
        <v>101</v>
      </c>
      <c r="EX130" s="451">
        <v>0.55555555555555558</v>
      </c>
      <c r="EY130" s="421">
        <v>45770</v>
      </c>
      <c r="EZ130" s="452">
        <v>41</v>
      </c>
      <c r="FA130" s="452">
        <v>5875</v>
      </c>
      <c r="FB130" s="402">
        <f t="shared" si="64"/>
        <v>0.203125</v>
      </c>
      <c r="FC130" s="452">
        <v>9557</v>
      </c>
      <c r="FD130" s="452" t="s">
        <v>626</v>
      </c>
      <c r="FE130" s="452" t="s">
        <v>710</v>
      </c>
      <c r="GA130" s="852" t="s">
        <v>562</v>
      </c>
    </row>
    <row r="131" spans="2:183" x14ac:dyDescent="0.25">
      <c r="B131" s="354"/>
      <c r="C131" s="354"/>
      <c r="D131" s="354"/>
      <c r="E131" s="354"/>
      <c r="F131" s="354"/>
      <c r="G131" s="354"/>
      <c r="H131" s="354"/>
      <c r="I131" s="354"/>
      <c r="K131" s="657"/>
      <c r="L131" s="657"/>
      <c r="M131" s="657"/>
      <c r="N131" s="657"/>
      <c r="O131" s="657"/>
      <c r="BL131" s="451">
        <v>0.39444444444444443</v>
      </c>
      <c r="BM131" s="421">
        <v>45693</v>
      </c>
      <c r="BN131" s="452">
        <v>103</v>
      </c>
      <c r="BO131" s="452">
        <v>9934</v>
      </c>
      <c r="BP131" s="452">
        <f t="shared" si="59"/>
        <v>12</v>
      </c>
      <c r="BQ131" s="452">
        <v>903</v>
      </c>
      <c r="BR131" s="452" t="s">
        <v>406</v>
      </c>
      <c r="BS131" s="452" t="s">
        <v>680</v>
      </c>
      <c r="BV131" s="348" t="str">
        <f>+BV130</f>
        <v xml:space="preserve">EX08 </v>
      </c>
      <c r="BW131" s="569">
        <v>0.39652777777777781</v>
      </c>
      <c r="BX131" s="570">
        <v>45666</v>
      </c>
      <c r="BY131" s="568">
        <v>120</v>
      </c>
      <c r="BZ131" s="568">
        <v>0</v>
      </c>
      <c r="CA131" s="549">
        <f t="shared" si="58"/>
        <v>0</v>
      </c>
      <c r="CB131" s="568">
        <v>15036</v>
      </c>
      <c r="CC131" s="568" t="str">
        <f t="shared" si="66"/>
        <v xml:space="preserve">MANUEL </v>
      </c>
      <c r="CD131" s="568" t="str">
        <f t="shared" si="66"/>
        <v>BANORTE</v>
      </c>
      <c r="CG131" s="442" t="s">
        <v>697</v>
      </c>
      <c r="CH131" s="426">
        <v>0.39930555555555558</v>
      </c>
      <c r="CI131" s="408">
        <v>45851</v>
      </c>
      <c r="CJ131" s="385">
        <v>156</v>
      </c>
      <c r="CK131" s="385">
        <v>2801</v>
      </c>
      <c r="CL131" s="527">
        <f t="shared" si="63"/>
        <v>17</v>
      </c>
      <c r="CM131" s="385">
        <v>10143</v>
      </c>
      <c r="CN131" s="385" t="s">
        <v>80</v>
      </c>
      <c r="CO131" s="385" t="s">
        <v>711</v>
      </c>
      <c r="DQ131" s="853">
        <f>SUM(DQ129:DQ130)</f>
        <v>557</v>
      </c>
      <c r="DR131" s="853">
        <f>DR130-DR128</f>
        <v>36</v>
      </c>
      <c r="EW131" s="419" t="s">
        <v>287</v>
      </c>
      <c r="EX131" s="854">
        <v>0.49305555555555558</v>
      </c>
      <c r="EY131" s="855">
        <v>45796</v>
      </c>
      <c r="EZ131" s="856">
        <v>51</v>
      </c>
      <c r="FA131" s="856">
        <v>5891</v>
      </c>
      <c r="FB131" s="857">
        <f t="shared" si="64"/>
        <v>0.3902439024390244</v>
      </c>
      <c r="FC131" s="856">
        <v>9417</v>
      </c>
      <c r="FD131" s="856" t="s">
        <v>320</v>
      </c>
      <c r="FE131" s="448" t="s">
        <v>149</v>
      </c>
      <c r="FF131" s="858" t="s">
        <v>325</v>
      </c>
      <c r="FG131" s="428"/>
    </row>
    <row r="132" spans="2:183" x14ac:dyDescent="0.25">
      <c r="B132" s="354"/>
      <c r="C132" s="354"/>
      <c r="D132" s="354"/>
      <c r="E132" s="354"/>
      <c r="F132" s="354"/>
      <c r="G132" s="354"/>
      <c r="H132" s="354"/>
      <c r="I132" s="354"/>
      <c r="K132" s="657"/>
      <c r="L132" s="657"/>
      <c r="M132" s="657"/>
      <c r="N132" s="657"/>
      <c r="O132" s="657"/>
      <c r="BK132" s="737" t="s">
        <v>503</v>
      </c>
      <c r="BL132" s="426">
        <v>0.73472222222222228</v>
      </c>
      <c r="BM132" s="408">
        <v>45701</v>
      </c>
      <c r="BN132" s="385">
        <v>104</v>
      </c>
      <c r="BO132" s="385">
        <v>9948</v>
      </c>
      <c r="BP132" s="452">
        <f t="shared" si="59"/>
        <v>14</v>
      </c>
      <c r="BQ132" s="385">
        <v>9148</v>
      </c>
      <c r="BR132" s="385" t="s">
        <v>712</v>
      </c>
      <c r="BS132" s="385" t="s">
        <v>468</v>
      </c>
      <c r="BV132" s="348" t="str">
        <f>+BV131</f>
        <v xml:space="preserve">EX08 </v>
      </c>
      <c r="BW132" s="569">
        <v>0.38194444444444442</v>
      </c>
      <c r="BX132" s="570">
        <v>45670</v>
      </c>
      <c r="BY132" s="568">
        <v>40</v>
      </c>
      <c r="BZ132" s="568">
        <v>0</v>
      </c>
      <c r="CA132" s="549">
        <f t="shared" si="58"/>
        <v>0</v>
      </c>
      <c r="CB132" s="568">
        <v>8201</v>
      </c>
      <c r="CC132" s="568" t="str">
        <f>+CC131</f>
        <v xml:space="preserve">MANUEL </v>
      </c>
      <c r="CD132" s="568" t="str">
        <f>+CD131</f>
        <v>BANORTE</v>
      </c>
      <c r="CH132" s="426">
        <v>0.50694444444444442</v>
      </c>
      <c r="CI132" s="408">
        <v>45853</v>
      </c>
      <c r="CJ132" s="385">
        <v>163</v>
      </c>
      <c r="CK132" s="385">
        <v>2818</v>
      </c>
      <c r="CL132" s="527">
        <f t="shared" si="63"/>
        <v>17</v>
      </c>
      <c r="CM132" s="385">
        <v>10153</v>
      </c>
      <c r="CN132" s="385" t="s">
        <v>406</v>
      </c>
      <c r="CO132" s="385" t="s">
        <v>711</v>
      </c>
      <c r="EW132" s="419" t="s">
        <v>287</v>
      </c>
      <c r="EX132" s="426">
        <v>0.31736111111111109</v>
      </c>
      <c r="EY132" s="408">
        <v>45803</v>
      </c>
      <c r="EZ132" s="385">
        <v>41</v>
      </c>
      <c r="FA132" s="385">
        <v>5916</v>
      </c>
      <c r="FB132" s="385">
        <f>FA132-FA131</f>
        <v>25</v>
      </c>
      <c r="FC132" s="385">
        <v>9367</v>
      </c>
      <c r="FD132" s="385" t="s">
        <v>626</v>
      </c>
      <c r="FE132" s="452" t="s">
        <v>710</v>
      </c>
    </row>
    <row r="133" spans="2:183" x14ac:dyDescent="0.25">
      <c r="B133" s="354"/>
      <c r="C133" s="354"/>
      <c r="D133" s="354"/>
      <c r="E133" s="354"/>
      <c r="F133" s="354"/>
      <c r="G133" s="354"/>
      <c r="H133" s="354"/>
      <c r="I133" s="354"/>
      <c r="K133" s="657"/>
      <c r="L133" s="657"/>
      <c r="M133" s="657"/>
      <c r="N133" s="657"/>
      <c r="O133" s="657"/>
      <c r="BK133" s="737" t="s">
        <v>503</v>
      </c>
      <c r="BL133" s="426">
        <v>0.63194444444444442</v>
      </c>
      <c r="BM133" s="408">
        <v>45705</v>
      </c>
      <c r="BN133" s="385">
        <v>94</v>
      </c>
      <c r="BO133" s="385">
        <v>9966</v>
      </c>
      <c r="BP133" s="452">
        <f t="shared" si="59"/>
        <v>18</v>
      </c>
      <c r="BQ133" s="385">
        <v>15125</v>
      </c>
      <c r="BR133" s="385" t="s">
        <v>712</v>
      </c>
      <c r="BS133" s="385" t="s">
        <v>468</v>
      </c>
      <c r="BV133" s="348" t="str">
        <f>+BV132</f>
        <v xml:space="preserve">EX08 </v>
      </c>
      <c r="BW133" s="569">
        <v>0.375</v>
      </c>
      <c r="BX133" s="570">
        <v>45673</v>
      </c>
      <c r="BY133" s="568">
        <v>120</v>
      </c>
      <c r="BZ133" s="568">
        <v>10589</v>
      </c>
      <c r="CA133" s="549">
        <f t="shared" si="58"/>
        <v>264.72500000000002</v>
      </c>
      <c r="CB133" s="568">
        <v>12093</v>
      </c>
      <c r="CC133" s="568" t="str">
        <f>+CC132</f>
        <v xml:space="preserve">MANUEL </v>
      </c>
      <c r="CD133" s="568" t="s">
        <v>713</v>
      </c>
      <c r="CH133" s="451">
        <v>0.60833333333333328</v>
      </c>
      <c r="CI133" s="421">
        <v>45855</v>
      </c>
      <c r="CJ133" s="452">
        <v>140</v>
      </c>
      <c r="CK133" s="859">
        <v>2836</v>
      </c>
      <c r="CL133" s="527">
        <f t="shared" si="63"/>
        <v>18</v>
      </c>
      <c r="CM133" s="452">
        <v>10168</v>
      </c>
      <c r="CN133" s="452" t="s">
        <v>406</v>
      </c>
      <c r="CO133" s="452" t="s">
        <v>711</v>
      </c>
      <c r="CP133" s="829" t="s">
        <v>325</v>
      </c>
      <c r="CQ133" s="441"/>
      <c r="DN133" s="442" t="s">
        <v>285</v>
      </c>
      <c r="DO133" s="426">
        <v>0.47222222222222221</v>
      </c>
      <c r="DP133" s="408">
        <v>46081</v>
      </c>
      <c r="DQ133" s="385">
        <v>137</v>
      </c>
      <c r="DR133" s="385">
        <v>3266</v>
      </c>
      <c r="DS133" s="511">
        <f>DR133-DR130</f>
        <v>25</v>
      </c>
      <c r="DT133" s="385">
        <v>13346</v>
      </c>
      <c r="DU133" s="385" t="s">
        <v>61</v>
      </c>
      <c r="DV133" s="385" t="s">
        <v>101</v>
      </c>
      <c r="EW133" s="419" t="s">
        <v>287</v>
      </c>
      <c r="EX133" s="426">
        <v>0.39930555555555558</v>
      </c>
      <c r="EY133" s="408">
        <v>45811</v>
      </c>
      <c r="EZ133" s="385">
        <v>86</v>
      </c>
      <c r="FA133" s="385">
        <v>5916</v>
      </c>
      <c r="FB133" s="385">
        <f t="shared" ref="FB133:FB177" si="67">FA133-FA132</f>
        <v>0</v>
      </c>
      <c r="FC133" s="385">
        <v>9425</v>
      </c>
      <c r="FD133" s="385" t="s">
        <v>626</v>
      </c>
      <c r="FE133" s="385" t="s">
        <v>710</v>
      </c>
    </row>
    <row r="134" spans="2:183" x14ac:dyDescent="0.25">
      <c r="B134" s="354"/>
      <c r="C134" s="354"/>
      <c r="D134" s="354"/>
      <c r="E134" s="354"/>
      <c r="F134" s="354"/>
      <c r="G134" s="354"/>
      <c r="H134" s="354"/>
      <c r="I134" s="354"/>
      <c r="K134" s="657"/>
      <c r="L134" s="657"/>
      <c r="M134" s="657"/>
      <c r="N134" s="657"/>
      <c r="O134" s="657"/>
      <c r="BK134" s="737" t="s">
        <v>503</v>
      </c>
      <c r="BL134" s="451">
        <v>0.50347222222222221</v>
      </c>
      <c r="BM134" s="421">
        <v>45712</v>
      </c>
      <c r="BN134" s="452">
        <v>116</v>
      </c>
      <c r="BO134" s="452">
        <v>9989</v>
      </c>
      <c r="BP134" s="452">
        <f t="shared" si="59"/>
        <v>23</v>
      </c>
      <c r="BQ134" s="452">
        <v>15077</v>
      </c>
      <c r="BR134" s="452" t="s">
        <v>712</v>
      </c>
      <c r="BS134" s="452" t="s">
        <v>468</v>
      </c>
      <c r="BV134" s="737" t="s">
        <v>306</v>
      </c>
      <c r="BW134" s="451">
        <v>0.56597222222222221</v>
      </c>
      <c r="BX134" s="421">
        <v>45745</v>
      </c>
      <c r="BY134" s="452">
        <v>161</v>
      </c>
      <c r="BZ134" s="452">
        <v>10647</v>
      </c>
      <c r="CA134" s="452">
        <f>BZ134-BO139</f>
        <v>10647</v>
      </c>
      <c r="CB134" s="452">
        <v>9260</v>
      </c>
      <c r="CC134" s="469" t="s">
        <v>354</v>
      </c>
      <c r="CD134" s="385" t="s">
        <v>513</v>
      </c>
      <c r="CG134" s="442" t="s">
        <v>697</v>
      </c>
      <c r="CH134" s="426">
        <v>0.41666666666666669</v>
      </c>
      <c r="CI134" s="408">
        <v>45857</v>
      </c>
      <c r="CJ134" s="385">
        <v>128</v>
      </c>
      <c r="CK134" s="385">
        <v>2851</v>
      </c>
      <c r="CL134" s="527">
        <f t="shared" si="63"/>
        <v>15</v>
      </c>
      <c r="CM134" s="385">
        <v>10188</v>
      </c>
      <c r="CN134" s="385" t="s">
        <v>406</v>
      </c>
      <c r="CO134" s="385" t="s">
        <v>711</v>
      </c>
      <c r="DO134" s="408"/>
      <c r="DP134" s="408">
        <v>46083</v>
      </c>
      <c r="DQ134" s="385">
        <v>239</v>
      </c>
      <c r="DR134" s="385">
        <v>3269</v>
      </c>
      <c r="DS134" s="511">
        <f>DR134-DR133</f>
        <v>3</v>
      </c>
      <c r="DT134" s="385">
        <v>11300</v>
      </c>
      <c r="DU134" s="385" t="s">
        <v>61</v>
      </c>
      <c r="DV134" s="385" t="s">
        <v>101</v>
      </c>
      <c r="EX134" s="426">
        <v>0.47916666666666669</v>
      </c>
      <c r="EY134" s="408">
        <v>45812</v>
      </c>
      <c r="EZ134" s="385">
        <v>22</v>
      </c>
      <c r="FA134" s="385">
        <v>5949</v>
      </c>
      <c r="FB134" s="385">
        <f t="shared" si="67"/>
        <v>33</v>
      </c>
      <c r="FC134" s="385">
        <v>9448</v>
      </c>
      <c r="FD134" s="385" t="s">
        <v>626</v>
      </c>
      <c r="FE134" s="385" t="s">
        <v>710</v>
      </c>
      <c r="GA134" s="348" t="s">
        <v>714</v>
      </c>
    </row>
    <row r="135" spans="2:183" x14ac:dyDescent="0.25">
      <c r="B135" s="354"/>
      <c r="C135" s="354"/>
      <c r="D135" s="354"/>
      <c r="E135" s="354"/>
      <c r="F135" s="354"/>
      <c r="G135" s="354"/>
      <c r="H135" s="354"/>
      <c r="I135" s="354"/>
      <c r="K135" s="657"/>
      <c r="L135" s="657"/>
      <c r="M135" s="657"/>
      <c r="N135" s="657"/>
      <c r="O135" s="657"/>
      <c r="BL135" s="451"/>
      <c r="BM135" s="421">
        <v>45714</v>
      </c>
      <c r="BN135" s="452">
        <v>44</v>
      </c>
      <c r="BO135" s="452">
        <v>9998</v>
      </c>
      <c r="BP135" s="452">
        <f t="shared" si="59"/>
        <v>9</v>
      </c>
      <c r="BQ135" s="452">
        <v>15094</v>
      </c>
      <c r="BR135" s="452" t="s">
        <v>712</v>
      </c>
      <c r="BS135" s="452" t="s">
        <v>468</v>
      </c>
      <c r="BW135" s="451">
        <v>0.40277777777777779</v>
      </c>
      <c r="BX135" s="421">
        <v>45748</v>
      </c>
      <c r="BY135" s="452">
        <v>127</v>
      </c>
      <c r="BZ135" s="452">
        <v>10669</v>
      </c>
      <c r="CA135" s="452">
        <f t="shared" ref="CA135:CA168" si="68">BZ135-BZ134</f>
        <v>22</v>
      </c>
      <c r="CB135" s="452">
        <v>9275</v>
      </c>
      <c r="CC135" s="469" t="s">
        <v>354</v>
      </c>
      <c r="CD135" s="385" t="s">
        <v>513</v>
      </c>
      <c r="CH135" s="426">
        <v>0.47222222222222221</v>
      </c>
      <c r="CI135" s="408">
        <v>45859</v>
      </c>
      <c r="CJ135" s="385">
        <v>91</v>
      </c>
      <c r="CK135" s="385">
        <v>2861</v>
      </c>
      <c r="CL135" s="527">
        <f t="shared" si="63"/>
        <v>10</v>
      </c>
      <c r="CM135" s="385">
        <v>10202</v>
      </c>
      <c r="CN135" s="385" t="s">
        <v>406</v>
      </c>
      <c r="CO135" s="385" t="s">
        <v>711</v>
      </c>
      <c r="DO135" s="426">
        <v>0.44374999999999998</v>
      </c>
      <c r="DP135" s="408">
        <v>46085</v>
      </c>
      <c r="DQ135" s="385">
        <v>266</v>
      </c>
      <c r="DR135" s="385">
        <v>3286</v>
      </c>
      <c r="DS135" s="511">
        <f>DR135-DR134</f>
        <v>17</v>
      </c>
      <c r="DT135" s="385">
        <v>11320</v>
      </c>
      <c r="DU135" s="385" t="s">
        <v>61</v>
      </c>
      <c r="DV135" s="385" t="s">
        <v>101</v>
      </c>
      <c r="EW135" s="419" t="s">
        <v>287</v>
      </c>
      <c r="EX135" s="451">
        <v>0.48194444444444445</v>
      </c>
      <c r="EY135" s="421">
        <v>45819</v>
      </c>
      <c r="EZ135" s="452">
        <v>62</v>
      </c>
      <c r="FA135" s="452">
        <v>5965</v>
      </c>
      <c r="FB135" s="385">
        <f t="shared" si="67"/>
        <v>16</v>
      </c>
      <c r="FC135" s="452">
        <v>9425</v>
      </c>
      <c r="FD135" s="452" t="s">
        <v>626</v>
      </c>
      <c r="FE135" s="452" t="s">
        <v>710</v>
      </c>
    </row>
    <row r="136" spans="2:183" x14ac:dyDescent="0.25">
      <c r="B136" s="354"/>
      <c r="C136" s="354"/>
      <c r="D136" s="354"/>
      <c r="E136" s="354"/>
      <c r="F136" s="354"/>
      <c r="G136" s="354"/>
      <c r="H136" s="354"/>
      <c r="I136" s="354"/>
      <c r="K136" s="657"/>
      <c r="L136" s="657"/>
      <c r="M136" s="657"/>
      <c r="N136" s="657"/>
      <c r="O136" s="657"/>
      <c r="BK136" s="737" t="s">
        <v>503</v>
      </c>
      <c r="BL136" s="451"/>
      <c r="BM136" s="421">
        <v>45719</v>
      </c>
      <c r="BN136" s="452">
        <v>55</v>
      </c>
      <c r="BO136" s="452"/>
      <c r="BP136" s="452">
        <f t="shared" si="59"/>
        <v>-9998</v>
      </c>
      <c r="BQ136" s="452">
        <v>14066</v>
      </c>
      <c r="BR136" s="452" t="s">
        <v>69</v>
      </c>
      <c r="BS136" s="452" t="s">
        <v>715</v>
      </c>
      <c r="BV136" s="737" t="s">
        <v>306</v>
      </c>
      <c r="BW136" s="426"/>
      <c r="BX136" s="408">
        <v>45752</v>
      </c>
      <c r="BY136" s="506">
        <v>80</v>
      </c>
      <c r="BZ136" s="506"/>
      <c r="CA136" s="669">
        <f t="shared" si="68"/>
        <v>-10669</v>
      </c>
      <c r="CB136" s="506">
        <v>8603</v>
      </c>
      <c r="CC136" s="506" t="s">
        <v>354</v>
      </c>
      <c r="CD136" s="506" t="s">
        <v>513</v>
      </c>
      <c r="CE136" s="633" t="s">
        <v>387</v>
      </c>
      <c r="CH136" s="451">
        <v>0.74305555555555558</v>
      </c>
      <c r="CI136" s="421">
        <v>45862</v>
      </c>
      <c r="CJ136" s="452">
        <v>150</v>
      </c>
      <c r="CK136" s="452">
        <v>2884</v>
      </c>
      <c r="CL136" s="527">
        <f t="shared" si="63"/>
        <v>23</v>
      </c>
      <c r="CM136" s="452">
        <v>10303</v>
      </c>
      <c r="CN136" s="452" t="s">
        <v>406</v>
      </c>
      <c r="CO136" s="452" t="s">
        <v>711</v>
      </c>
      <c r="DN136" s="442" t="s">
        <v>285</v>
      </c>
      <c r="DO136" s="426">
        <v>0.32222222222222224</v>
      </c>
      <c r="DP136" s="408">
        <v>46090</v>
      </c>
      <c r="DQ136" s="385">
        <v>304</v>
      </c>
      <c r="DR136" s="385">
        <v>3306</v>
      </c>
      <c r="DS136" s="511">
        <f>DR136-DR133</f>
        <v>40</v>
      </c>
      <c r="DT136" s="385">
        <v>11343</v>
      </c>
      <c r="DU136" s="385" t="s">
        <v>61</v>
      </c>
      <c r="DV136" s="385" t="s">
        <v>101</v>
      </c>
      <c r="EW136" s="419" t="s">
        <v>287</v>
      </c>
      <c r="EX136" s="426">
        <v>0.34097222222222223</v>
      </c>
      <c r="EY136" s="408">
        <v>45822</v>
      </c>
      <c r="EZ136" s="385">
        <v>15</v>
      </c>
      <c r="FA136" s="385">
        <v>5969</v>
      </c>
      <c r="FB136" s="385">
        <f t="shared" si="67"/>
        <v>4</v>
      </c>
      <c r="FC136" s="385">
        <v>10559</v>
      </c>
      <c r="FD136" s="385" t="s">
        <v>626</v>
      </c>
      <c r="FE136" s="385" t="s">
        <v>710</v>
      </c>
    </row>
    <row r="137" spans="2:183" x14ac:dyDescent="0.25">
      <c r="B137" s="354"/>
      <c r="C137" s="354"/>
      <c r="D137" s="354"/>
      <c r="E137" s="354"/>
      <c r="F137" s="354"/>
      <c r="G137" s="354"/>
      <c r="H137" s="354"/>
      <c r="I137" s="354"/>
      <c r="K137" s="657"/>
      <c r="L137" s="657"/>
      <c r="M137" s="657"/>
      <c r="N137" s="657"/>
      <c r="O137" s="657"/>
      <c r="BL137" s="451">
        <v>0.20555555555555555</v>
      </c>
      <c r="BM137" s="421">
        <v>45721</v>
      </c>
      <c r="BN137" s="452">
        <v>50</v>
      </c>
      <c r="BO137" s="452">
        <v>10020</v>
      </c>
      <c r="BP137" s="452">
        <f t="shared" si="59"/>
        <v>10020</v>
      </c>
      <c r="BQ137" s="452">
        <v>14075</v>
      </c>
      <c r="BR137" s="452" t="s">
        <v>69</v>
      </c>
      <c r="BS137" s="452" t="s">
        <v>715</v>
      </c>
      <c r="BT137" s="613" t="s">
        <v>707</v>
      </c>
      <c r="BW137" s="426"/>
      <c r="BX137" s="408">
        <v>45754</v>
      </c>
      <c r="BY137" s="385">
        <v>104</v>
      </c>
      <c r="BZ137" s="385">
        <v>10703</v>
      </c>
      <c r="CA137" s="452">
        <f t="shared" si="68"/>
        <v>10703</v>
      </c>
      <c r="CB137" s="385">
        <v>12116</v>
      </c>
      <c r="CC137" s="385" t="s">
        <v>354</v>
      </c>
      <c r="CD137" s="385" t="s">
        <v>513</v>
      </c>
      <c r="CG137" s="442" t="s">
        <v>697</v>
      </c>
      <c r="CH137" s="426">
        <v>0.49791666666666667</v>
      </c>
      <c r="CI137" s="408">
        <v>45866</v>
      </c>
      <c r="CJ137" s="385">
        <v>50</v>
      </c>
      <c r="CK137" s="385">
        <v>2906</v>
      </c>
      <c r="CL137" s="527">
        <f t="shared" si="63"/>
        <v>22</v>
      </c>
      <c r="CM137" s="385">
        <v>10323</v>
      </c>
      <c r="CN137" s="385" t="s">
        <v>406</v>
      </c>
      <c r="CO137" s="385" t="s">
        <v>711</v>
      </c>
      <c r="DO137" s="426">
        <v>0.50347222222222221</v>
      </c>
      <c r="DP137" s="408">
        <v>46092</v>
      </c>
      <c r="DQ137" s="385">
        <v>293</v>
      </c>
      <c r="DR137" s="385">
        <v>3328</v>
      </c>
      <c r="DS137" s="511">
        <f>DR137-DR134</f>
        <v>59</v>
      </c>
      <c r="DT137" s="385">
        <v>11755</v>
      </c>
      <c r="DU137" s="385" t="s">
        <v>61</v>
      </c>
      <c r="DV137" s="385" t="s">
        <v>101</v>
      </c>
      <c r="EX137" s="426">
        <v>0.33611111111111114</v>
      </c>
      <c r="EY137" s="408">
        <v>45825</v>
      </c>
      <c r="EZ137" s="385">
        <v>24</v>
      </c>
      <c r="FA137" s="385">
        <v>5969</v>
      </c>
      <c r="FB137" s="385">
        <f t="shared" si="67"/>
        <v>0</v>
      </c>
      <c r="FC137" s="385">
        <v>10568</v>
      </c>
      <c r="FD137" s="385" t="s">
        <v>626</v>
      </c>
      <c r="FE137" s="385" t="s">
        <v>710</v>
      </c>
    </row>
    <row r="138" spans="2:183" x14ac:dyDescent="0.25">
      <c r="B138" s="354"/>
      <c r="C138" s="354"/>
      <c r="D138" s="354"/>
      <c r="E138" s="354"/>
      <c r="F138" s="354"/>
      <c r="G138" s="354"/>
      <c r="H138" s="354"/>
      <c r="I138" s="354"/>
      <c r="K138" s="657"/>
      <c r="L138" s="657"/>
      <c r="M138" s="657"/>
      <c r="N138" s="657"/>
      <c r="O138" s="657"/>
      <c r="BK138" s="737" t="s">
        <v>503</v>
      </c>
      <c r="BL138" s="426" t="s">
        <v>716</v>
      </c>
      <c r="BM138" s="408">
        <v>45729</v>
      </c>
      <c r="BN138" s="385">
        <v>40</v>
      </c>
      <c r="BO138" s="385"/>
      <c r="BP138" s="452">
        <f t="shared" si="59"/>
        <v>-10020</v>
      </c>
      <c r="BQ138" s="385">
        <v>7531</v>
      </c>
      <c r="BR138" s="385" t="s">
        <v>435</v>
      </c>
      <c r="BS138" s="385" t="s">
        <v>149</v>
      </c>
      <c r="BW138" s="426">
        <v>0.62777777777777777</v>
      </c>
      <c r="BX138" s="408">
        <v>45756</v>
      </c>
      <c r="BY138" s="385">
        <v>60</v>
      </c>
      <c r="BZ138" s="385">
        <v>10718</v>
      </c>
      <c r="CA138" s="452">
        <f t="shared" si="68"/>
        <v>15</v>
      </c>
      <c r="CB138" s="385">
        <v>12143</v>
      </c>
      <c r="CC138" s="385" t="s">
        <v>354</v>
      </c>
      <c r="CD138" s="385" t="s">
        <v>513</v>
      </c>
      <c r="CH138" s="451">
        <v>0.47708333333333336</v>
      </c>
      <c r="CI138" s="421">
        <v>45868</v>
      </c>
      <c r="CJ138" s="452">
        <v>140</v>
      </c>
      <c r="CK138" s="452">
        <v>2913</v>
      </c>
      <c r="CL138" s="527">
        <f t="shared" si="63"/>
        <v>7</v>
      </c>
      <c r="CM138" s="452">
        <v>10219</v>
      </c>
      <c r="CN138" s="452" t="s">
        <v>406</v>
      </c>
      <c r="CO138" s="452" t="s">
        <v>711</v>
      </c>
      <c r="DN138" s="442" t="s">
        <v>285</v>
      </c>
      <c r="DO138" s="491">
        <v>0.38680555555555557</v>
      </c>
      <c r="DP138" s="513">
        <v>46095</v>
      </c>
      <c r="DQ138" s="469">
        <v>328</v>
      </c>
      <c r="DR138" s="469">
        <v>3350</v>
      </c>
      <c r="DS138" s="732">
        <f>DR138-DR135</f>
        <v>64</v>
      </c>
      <c r="DT138" s="469">
        <v>11777</v>
      </c>
      <c r="DU138" s="469" t="s">
        <v>61</v>
      </c>
      <c r="DV138" s="469" t="s">
        <v>101</v>
      </c>
      <c r="EX138" s="426"/>
      <c r="EY138" s="408">
        <v>45827</v>
      </c>
      <c r="EZ138" s="385">
        <v>77</v>
      </c>
      <c r="FA138" s="385">
        <v>5991</v>
      </c>
      <c r="FB138" s="385">
        <f t="shared" si="67"/>
        <v>22</v>
      </c>
      <c r="FC138" s="385">
        <v>10592</v>
      </c>
      <c r="FD138" s="385" t="s">
        <v>626</v>
      </c>
      <c r="FE138" s="385" t="s">
        <v>710</v>
      </c>
    </row>
    <row r="139" spans="2:183" x14ac:dyDescent="0.25">
      <c r="B139" s="354"/>
      <c r="C139" s="354"/>
      <c r="D139" s="354"/>
      <c r="E139" s="354"/>
      <c r="F139" s="354"/>
      <c r="G139" s="354"/>
      <c r="H139" s="354"/>
      <c r="I139" s="354"/>
      <c r="K139" s="657"/>
      <c r="L139" s="657"/>
      <c r="M139" s="657"/>
      <c r="N139" s="657"/>
      <c r="O139" s="657"/>
      <c r="BK139" s="737" t="s">
        <v>503</v>
      </c>
      <c r="BL139" s="426">
        <v>0.5625</v>
      </c>
      <c r="BM139" s="408">
        <v>45735</v>
      </c>
      <c r="BN139" s="385">
        <v>60</v>
      </c>
      <c r="BO139" s="385"/>
      <c r="BP139" s="452">
        <f t="shared" si="59"/>
        <v>0</v>
      </c>
      <c r="BQ139" s="385">
        <v>7794</v>
      </c>
      <c r="BR139" s="385" t="s">
        <v>435</v>
      </c>
      <c r="BS139" s="385" t="s">
        <v>149</v>
      </c>
      <c r="BW139" s="426">
        <v>0.34722222222222221</v>
      </c>
      <c r="BX139" s="408">
        <v>45758</v>
      </c>
      <c r="BY139" s="385">
        <v>30</v>
      </c>
      <c r="BZ139" s="385"/>
      <c r="CA139" s="452">
        <f t="shared" si="68"/>
        <v>-10718</v>
      </c>
      <c r="CB139" s="385">
        <v>8657</v>
      </c>
      <c r="CC139" s="385" t="s">
        <v>354</v>
      </c>
      <c r="CD139" s="385" t="s">
        <v>513</v>
      </c>
      <c r="CE139" s="348" t="s">
        <v>717</v>
      </c>
      <c r="CG139" s="442" t="s">
        <v>697</v>
      </c>
      <c r="CH139" s="426">
        <v>0.25833333333333336</v>
      </c>
      <c r="CI139" s="408">
        <v>45873</v>
      </c>
      <c r="CJ139" s="385">
        <v>124</v>
      </c>
      <c r="CK139" s="385">
        <v>2913</v>
      </c>
      <c r="CL139" s="527">
        <f t="shared" si="63"/>
        <v>0</v>
      </c>
      <c r="CM139" s="385">
        <v>10248</v>
      </c>
      <c r="CN139" s="385" t="s">
        <v>406</v>
      </c>
      <c r="CO139" s="385" t="s">
        <v>457</v>
      </c>
      <c r="DO139" s="491">
        <v>0.3347222222222222</v>
      </c>
      <c r="DP139" s="513">
        <v>46100</v>
      </c>
      <c r="DQ139" s="469">
        <v>300</v>
      </c>
      <c r="DR139" s="469">
        <v>3370</v>
      </c>
      <c r="DS139" s="732">
        <f>DR139-DR136</f>
        <v>64</v>
      </c>
      <c r="DT139" s="469">
        <v>12765</v>
      </c>
      <c r="DU139" s="469" t="s">
        <v>61</v>
      </c>
      <c r="DV139" s="469" t="s">
        <v>101</v>
      </c>
      <c r="EW139" s="419" t="s">
        <v>287</v>
      </c>
      <c r="EX139" s="426">
        <v>0.37847222222222221</v>
      </c>
      <c r="EY139" s="408">
        <v>45831</v>
      </c>
      <c r="EZ139" s="385">
        <v>53</v>
      </c>
      <c r="FA139" s="385">
        <v>6002</v>
      </c>
      <c r="FB139" s="385">
        <f t="shared" si="67"/>
        <v>11</v>
      </c>
      <c r="FC139" s="385">
        <v>10770</v>
      </c>
      <c r="FD139" s="385" t="s">
        <v>626</v>
      </c>
      <c r="FE139" s="385" t="s">
        <v>710</v>
      </c>
    </row>
    <row r="140" spans="2:183" x14ac:dyDescent="0.25">
      <c r="B140" s="354"/>
      <c r="C140" s="354"/>
      <c r="D140" s="354"/>
      <c r="E140" s="354"/>
      <c r="F140" s="354"/>
      <c r="G140" s="354"/>
      <c r="H140" s="354"/>
      <c r="I140" s="354"/>
      <c r="K140" s="657"/>
      <c r="L140" s="657"/>
      <c r="M140" s="657"/>
      <c r="N140" s="657"/>
      <c r="O140" s="657"/>
      <c r="BK140" s="409" t="s">
        <v>718</v>
      </c>
      <c r="BL140" s="451">
        <v>0.48125000000000001</v>
      </c>
      <c r="BM140" s="421">
        <v>45762</v>
      </c>
      <c r="BN140" s="452">
        <v>101</v>
      </c>
      <c r="BO140" s="452">
        <v>10054</v>
      </c>
      <c r="BP140" s="452">
        <f t="shared" si="59"/>
        <v>10054</v>
      </c>
      <c r="BQ140" s="452">
        <v>10104</v>
      </c>
      <c r="BR140" s="452" t="s">
        <v>435</v>
      </c>
      <c r="BS140" s="452" t="s">
        <v>149</v>
      </c>
      <c r="BW140" s="426">
        <v>0.6020833333333333</v>
      </c>
      <c r="BX140" s="408">
        <v>45758</v>
      </c>
      <c r="BY140" s="385">
        <v>123</v>
      </c>
      <c r="BZ140" s="385">
        <v>10732</v>
      </c>
      <c r="CA140" s="452">
        <f t="shared" si="68"/>
        <v>10732</v>
      </c>
      <c r="CB140" s="385">
        <v>7476</v>
      </c>
      <c r="CC140" s="385" t="s">
        <v>354</v>
      </c>
      <c r="CD140" s="385" t="s">
        <v>513</v>
      </c>
      <c r="CH140" s="451"/>
      <c r="CI140" s="421">
        <v>45875</v>
      </c>
      <c r="CJ140" s="452">
        <v>117</v>
      </c>
      <c r="CK140" s="452">
        <v>2955</v>
      </c>
      <c r="CL140" s="527">
        <f t="shared" si="63"/>
        <v>42</v>
      </c>
      <c r="CM140" s="452">
        <v>11367</v>
      </c>
      <c r="CN140" s="452" t="s">
        <v>406</v>
      </c>
      <c r="CO140" s="452" t="s">
        <v>581</v>
      </c>
      <c r="EX140" s="426">
        <v>0.37847222222222221</v>
      </c>
      <c r="EY140" s="408">
        <v>45832</v>
      </c>
      <c r="EZ140" s="385">
        <v>45</v>
      </c>
      <c r="FA140" s="385">
        <v>6004</v>
      </c>
      <c r="FB140" s="385">
        <f t="shared" si="67"/>
        <v>2</v>
      </c>
      <c r="FC140" s="385">
        <v>10779</v>
      </c>
      <c r="FD140" s="385" t="s">
        <v>626</v>
      </c>
      <c r="FE140" s="385" t="s">
        <v>710</v>
      </c>
    </row>
    <row r="141" spans="2:183" x14ac:dyDescent="0.25">
      <c r="B141" s="354"/>
      <c r="C141" s="354"/>
      <c r="D141" s="354"/>
      <c r="E141" s="354"/>
      <c r="F141" s="354"/>
      <c r="G141" s="354"/>
      <c r="H141" s="354"/>
      <c r="I141" s="354"/>
      <c r="K141" s="657"/>
      <c r="L141" s="657"/>
      <c r="M141" s="657"/>
      <c r="N141" s="657"/>
      <c r="O141" s="657"/>
      <c r="BL141" s="451">
        <v>0.57291666666666663</v>
      </c>
      <c r="BM141" s="421">
        <v>45765</v>
      </c>
      <c r="BN141" s="452">
        <v>80</v>
      </c>
      <c r="BO141" s="452">
        <v>10068</v>
      </c>
      <c r="BP141" s="452">
        <f t="shared" si="59"/>
        <v>14</v>
      </c>
      <c r="BQ141" s="452">
        <v>9507</v>
      </c>
      <c r="BR141" s="452" t="s">
        <v>719</v>
      </c>
      <c r="BS141" s="452" t="s">
        <v>354</v>
      </c>
      <c r="BV141" s="409" t="s">
        <v>720</v>
      </c>
      <c r="BW141" s="451">
        <v>0.35069444444444442</v>
      </c>
      <c r="BX141" s="421">
        <v>45762</v>
      </c>
      <c r="BY141" s="452">
        <v>30</v>
      </c>
      <c r="BZ141" s="452"/>
      <c r="CA141" s="452">
        <f t="shared" si="68"/>
        <v>-10732</v>
      </c>
      <c r="CB141" s="452">
        <v>8687</v>
      </c>
      <c r="CC141" s="452" t="s">
        <v>354</v>
      </c>
      <c r="CD141" s="452" t="s">
        <v>513</v>
      </c>
      <c r="CG141" s="442" t="s">
        <v>697</v>
      </c>
      <c r="CH141" s="426">
        <v>0.28194444444444444</v>
      </c>
      <c r="CI141" s="408">
        <v>45880</v>
      </c>
      <c r="CJ141" s="385">
        <v>62</v>
      </c>
      <c r="CK141" s="471">
        <v>2955</v>
      </c>
      <c r="CL141" s="527">
        <f t="shared" si="63"/>
        <v>0</v>
      </c>
      <c r="CM141" s="385">
        <v>11398</v>
      </c>
      <c r="CN141" s="385" t="s">
        <v>406</v>
      </c>
      <c r="CO141" s="385" t="s">
        <v>304</v>
      </c>
      <c r="EX141" s="426">
        <v>0.30208333333333331</v>
      </c>
      <c r="EY141" s="408">
        <v>45834</v>
      </c>
      <c r="EZ141" s="385">
        <v>45</v>
      </c>
      <c r="FA141" s="385">
        <v>6013</v>
      </c>
      <c r="FB141" s="385">
        <f t="shared" si="67"/>
        <v>9</v>
      </c>
      <c r="FC141" s="385">
        <v>10789</v>
      </c>
      <c r="FD141" s="385" t="s">
        <v>626</v>
      </c>
      <c r="FE141" s="385" t="s">
        <v>721</v>
      </c>
      <c r="FY141" s="355"/>
    </row>
    <row r="142" spans="2:183" x14ac:dyDescent="0.25">
      <c r="B142" s="354"/>
      <c r="C142" s="354"/>
      <c r="D142" s="354"/>
      <c r="E142" s="354"/>
      <c r="F142" s="354"/>
      <c r="G142" s="354"/>
      <c r="H142" s="354"/>
      <c r="I142" s="354"/>
      <c r="K142" s="657"/>
      <c r="L142" s="657"/>
      <c r="M142" s="657"/>
      <c r="N142" s="657"/>
      <c r="O142" s="657"/>
      <c r="BK142" s="409" t="s">
        <v>718</v>
      </c>
      <c r="BL142" s="491">
        <v>0.58333333333333337</v>
      </c>
      <c r="BM142" s="513">
        <v>45769</v>
      </c>
      <c r="BN142" s="469">
        <v>91</v>
      </c>
      <c r="BO142" s="469">
        <v>10089</v>
      </c>
      <c r="BP142" s="795">
        <f t="shared" si="59"/>
        <v>21</v>
      </c>
      <c r="BQ142" s="469">
        <v>9543</v>
      </c>
      <c r="BR142" s="469" t="s">
        <v>46</v>
      </c>
      <c r="BS142" s="469" t="s">
        <v>354</v>
      </c>
      <c r="BW142" s="451">
        <v>0.47569444444444442</v>
      </c>
      <c r="BX142" s="421">
        <v>45762</v>
      </c>
      <c r="BY142" s="452">
        <v>136</v>
      </c>
      <c r="BZ142" s="452"/>
      <c r="CA142" s="452">
        <f t="shared" si="68"/>
        <v>0</v>
      </c>
      <c r="CB142" s="452">
        <v>10103</v>
      </c>
      <c r="CC142" s="452" t="s">
        <v>354</v>
      </c>
      <c r="CD142" s="452" t="s">
        <v>513</v>
      </c>
      <c r="CG142" s="442" t="s">
        <v>697</v>
      </c>
      <c r="CH142" s="426">
        <v>0.4777777777777778</v>
      </c>
      <c r="CI142" s="408">
        <v>45887</v>
      </c>
      <c r="CJ142" s="385">
        <v>85</v>
      </c>
      <c r="CK142" s="385">
        <v>2974</v>
      </c>
      <c r="CL142" s="527">
        <f t="shared" si="63"/>
        <v>19</v>
      </c>
      <c r="CM142" s="385">
        <v>10386</v>
      </c>
      <c r="CN142" s="385" t="s">
        <v>406</v>
      </c>
      <c r="CO142" s="385" t="s">
        <v>304</v>
      </c>
      <c r="EX142" s="451">
        <v>0.33333333333333331</v>
      </c>
      <c r="EY142" s="421">
        <v>45835</v>
      </c>
      <c r="EZ142" s="452">
        <v>31</v>
      </c>
      <c r="FA142" s="452">
        <v>6020</v>
      </c>
      <c r="FB142" s="452">
        <f t="shared" si="67"/>
        <v>7</v>
      </c>
      <c r="FC142" s="452">
        <v>10796</v>
      </c>
      <c r="FD142" s="452" t="s">
        <v>626</v>
      </c>
      <c r="FE142" s="452" t="s">
        <v>721</v>
      </c>
    </row>
    <row r="143" spans="2:183" x14ac:dyDescent="0.25">
      <c r="B143" s="354"/>
      <c r="C143" s="354"/>
      <c r="D143" s="354"/>
      <c r="E143" s="354"/>
      <c r="F143" s="354"/>
      <c r="G143" s="354"/>
      <c r="H143" s="354"/>
      <c r="I143" s="354"/>
      <c r="K143" s="657"/>
      <c r="L143" s="657"/>
      <c r="M143" s="657"/>
      <c r="N143" s="657"/>
      <c r="O143" s="657"/>
      <c r="BL143" s="491"/>
      <c r="BM143" s="513"/>
      <c r="BN143" s="469"/>
      <c r="BO143" s="469"/>
      <c r="BP143" s="795">
        <f t="shared" si="59"/>
        <v>-10089</v>
      </c>
      <c r="BQ143" s="469"/>
      <c r="BR143" s="469"/>
      <c r="BS143" s="469" t="s">
        <v>354</v>
      </c>
      <c r="BV143" s="409" t="s">
        <v>720</v>
      </c>
      <c r="BW143" s="426">
        <v>0.34444444444444444</v>
      </c>
      <c r="BX143" s="408">
        <v>45780</v>
      </c>
      <c r="BY143" s="385">
        <v>120</v>
      </c>
      <c r="BZ143" s="385">
        <v>10756</v>
      </c>
      <c r="CA143" s="452">
        <f t="shared" si="68"/>
        <v>10756</v>
      </c>
      <c r="CB143" s="385">
        <v>9248</v>
      </c>
      <c r="CC143" s="385" t="s">
        <v>149</v>
      </c>
      <c r="CD143" s="385" t="s">
        <v>435</v>
      </c>
      <c r="CE143" s="348" t="s">
        <v>436</v>
      </c>
      <c r="CH143" s="451">
        <v>0.54513888888888884</v>
      </c>
      <c r="CI143" s="421">
        <v>45889</v>
      </c>
      <c r="CJ143" s="452">
        <v>118</v>
      </c>
      <c r="CK143" s="452">
        <v>2990</v>
      </c>
      <c r="CL143" s="527">
        <f t="shared" si="63"/>
        <v>16</v>
      </c>
      <c r="CM143" s="452">
        <v>10397</v>
      </c>
      <c r="CN143" s="452" t="s">
        <v>406</v>
      </c>
      <c r="CO143" s="452" t="s">
        <v>304</v>
      </c>
      <c r="DN143" s="348" t="s">
        <v>592</v>
      </c>
      <c r="DO143" s="348">
        <v>3250</v>
      </c>
      <c r="EW143" s="419" t="s">
        <v>287</v>
      </c>
      <c r="EX143" s="426">
        <v>0.34861111111111109</v>
      </c>
      <c r="EY143" s="408">
        <v>45838</v>
      </c>
      <c r="EZ143" s="385">
        <v>46</v>
      </c>
      <c r="FA143" s="385">
        <v>6028</v>
      </c>
      <c r="FB143" s="385">
        <f t="shared" si="67"/>
        <v>8</v>
      </c>
      <c r="FC143" s="385">
        <v>10713</v>
      </c>
      <c r="FD143" s="385" t="s">
        <v>626</v>
      </c>
      <c r="FE143" s="385" t="s">
        <v>721</v>
      </c>
    </row>
    <row r="144" spans="2:183" x14ac:dyDescent="0.25">
      <c r="B144" s="354"/>
      <c r="C144" s="354"/>
      <c r="D144" s="354"/>
      <c r="E144" s="354"/>
      <c r="F144" s="354"/>
      <c r="G144" s="354"/>
      <c r="H144" s="354"/>
      <c r="I144" s="354"/>
      <c r="K144" s="657"/>
      <c r="L144" s="657"/>
      <c r="M144" s="657"/>
      <c r="N144" s="657"/>
      <c r="O144" s="657"/>
      <c r="BV144" s="409" t="s">
        <v>720</v>
      </c>
      <c r="BW144" s="426">
        <v>0.49166666666666664</v>
      </c>
      <c r="BX144" s="408">
        <v>45852</v>
      </c>
      <c r="BY144" s="385">
        <v>116</v>
      </c>
      <c r="BZ144" s="385">
        <v>10767</v>
      </c>
      <c r="CA144" s="452">
        <f t="shared" si="68"/>
        <v>11</v>
      </c>
      <c r="CB144" s="385">
        <v>9248</v>
      </c>
      <c r="CC144" s="385" t="s">
        <v>706</v>
      </c>
      <c r="CD144" s="385" t="s">
        <v>722</v>
      </c>
      <c r="CG144" s="442" t="s">
        <v>697</v>
      </c>
      <c r="CH144" s="426">
        <v>0.34722222222222221</v>
      </c>
      <c r="CI144" s="851">
        <v>45892</v>
      </c>
      <c r="CJ144" s="448">
        <v>138</v>
      </c>
      <c r="CK144" s="448">
        <v>3007</v>
      </c>
      <c r="CL144" s="527">
        <f t="shared" si="63"/>
        <v>17</v>
      </c>
      <c r="CM144" s="385">
        <v>10269</v>
      </c>
      <c r="CN144" s="385" t="s">
        <v>406</v>
      </c>
      <c r="CO144" s="385" t="s">
        <v>304</v>
      </c>
      <c r="CP144" s="448" t="s">
        <v>590</v>
      </c>
      <c r="DN144" s="607" t="s">
        <v>438</v>
      </c>
      <c r="DO144" s="598">
        <v>3000</v>
      </c>
      <c r="DP144" s="566">
        <v>46353</v>
      </c>
      <c r="EX144" s="426">
        <v>0.33680555555555558</v>
      </c>
      <c r="EY144" s="408">
        <v>45840</v>
      </c>
      <c r="EZ144" s="385">
        <v>47</v>
      </c>
      <c r="FA144" s="385">
        <v>6028</v>
      </c>
      <c r="FB144" s="385">
        <f t="shared" si="67"/>
        <v>0</v>
      </c>
      <c r="FC144" s="385">
        <v>10721</v>
      </c>
      <c r="FD144" s="385" t="s">
        <v>351</v>
      </c>
      <c r="FE144" s="385" t="s">
        <v>721</v>
      </c>
    </row>
    <row r="145" spans="2:161" x14ac:dyDescent="0.25">
      <c r="B145" s="354"/>
      <c r="C145" s="354"/>
      <c r="D145" s="354"/>
      <c r="E145" s="354"/>
      <c r="F145" s="354"/>
      <c r="G145" s="354"/>
      <c r="H145" s="354"/>
      <c r="I145" s="354"/>
      <c r="K145" s="657"/>
      <c r="L145" s="657"/>
      <c r="M145" s="657"/>
      <c r="N145" s="657"/>
      <c r="O145" s="657"/>
      <c r="BW145" s="451">
        <v>0.70833333333333337</v>
      </c>
      <c r="BX145" s="421">
        <v>45856</v>
      </c>
      <c r="BY145" s="452">
        <v>94</v>
      </c>
      <c r="BZ145" s="452">
        <v>10795</v>
      </c>
      <c r="CA145" s="452">
        <f t="shared" si="68"/>
        <v>28</v>
      </c>
      <c r="CB145" s="452">
        <v>10179</v>
      </c>
      <c r="CC145" s="452" t="s">
        <v>706</v>
      </c>
      <c r="CD145" s="452" t="s">
        <v>723</v>
      </c>
      <c r="CH145" s="426">
        <v>0.68958333333333333</v>
      </c>
      <c r="CI145" s="408">
        <v>45895</v>
      </c>
      <c r="CJ145" s="385">
        <v>108</v>
      </c>
      <c r="CK145" s="385">
        <v>3025</v>
      </c>
      <c r="CL145" s="527">
        <f t="shared" si="63"/>
        <v>18</v>
      </c>
      <c r="CM145" s="385">
        <v>10285</v>
      </c>
      <c r="CN145" s="385" t="s">
        <v>406</v>
      </c>
      <c r="CO145" s="385" t="s">
        <v>304</v>
      </c>
      <c r="DN145" s="607" t="s">
        <v>636</v>
      </c>
      <c r="DO145" s="598">
        <f>DO146+250</f>
        <v>2796</v>
      </c>
      <c r="EX145" s="426">
        <v>0.34305555555555556</v>
      </c>
      <c r="EY145" s="408">
        <v>45842</v>
      </c>
      <c r="EZ145" s="385">
        <v>57</v>
      </c>
      <c r="FA145" s="385">
        <v>6050</v>
      </c>
      <c r="FB145" s="385">
        <f t="shared" si="67"/>
        <v>22</v>
      </c>
      <c r="FC145" s="385">
        <v>10733</v>
      </c>
      <c r="FD145" s="385" t="s">
        <v>351</v>
      </c>
      <c r="FE145" s="385" t="s">
        <v>721</v>
      </c>
    </row>
    <row r="146" spans="2:161" x14ac:dyDescent="0.25">
      <c r="B146" s="354"/>
      <c r="C146" s="354"/>
      <c r="D146" s="354"/>
      <c r="E146" s="354"/>
      <c r="F146" s="354"/>
      <c r="G146" s="354"/>
      <c r="H146" s="354"/>
      <c r="I146" s="354"/>
      <c r="K146" s="657"/>
      <c r="L146" s="657"/>
      <c r="M146" s="657"/>
      <c r="N146" s="657"/>
      <c r="O146" s="657"/>
      <c r="BV146" s="409" t="s">
        <v>720</v>
      </c>
      <c r="BW146" s="426">
        <v>0.41666666666666669</v>
      </c>
      <c r="BX146" s="408">
        <v>45860</v>
      </c>
      <c r="BY146" s="385">
        <v>68</v>
      </c>
      <c r="BZ146" s="860">
        <v>10795</v>
      </c>
      <c r="CA146" s="452">
        <f t="shared" si="68"/>
        <v>0</v>
      </c>
      <c r="CB146" s="385">
        <v>10207</v>
      </c>
      <c r="CC146" s="385" t="s">
        <v>706</v>
      </c>
      <c r="CD146" s="385" t="s">
        <v>723</v>
      </c>
      <c r="CG146" s="442" t="s">
        <v>697</v>
      </c>
      <c r="CH146" s="426">
        <v>0.4</v>
      </c>
      <c r="CI146" s="408">
        <v>45899</v>
      </c>
      <c r="CJ146" s="385">
        <v>111</v>
      </c>
      <c r="CK146" s="385">
        <v>3046</v>
      </c>
      <c r="CL146" s="527">
        <f t="shared" si="63"/>
        <v>21</v>
      </c>
      <c r="CM146" s="385">
        <v>11416</v>
      </c>
      <c r="CN146" s="385" t="s">
        <v>406</v>
      </c>
      <c r="CO146" s="385" t="s">
        <v>304</v>
      </c>
      <c r="DN146" s="671" t="s">
        <v>636</v>
      </c>
      <c r="DO146" s="598">
        <v>2546</v>
      </c>
      <c r="DP146" s="566">
        <v>45874</v>
      </c>
      <c r="EW146" s="419" t="s">
        <v>287</v>
      </c>
      <c r="EX146" s="426">
        <v>0.3576388888888889</v>
      </c>
      <c r="EY146" s="408">
        <v>45843</v>
      </c>
      <c r="EZ146" s="385">
        <v>65</v>
      </c>
      <c r="FA146" s="385">
        <v>6058</v>
      </c>
      <c r="FB146" s="385">
        <f t="shared" si="67"/>
        <v>8</v>
      </c>
      <c r="FC146" s="385">
        <v>10746</v>
      </c>
      <c r="FD146" s="385" t="s">
        <v>351</v>
      </c>
      <c r="FE146" s="385" t="s">
        <v>721</v>
      </c>
    </row>
    <row r="147" spans="2:161" x14ac:dyDescent="0.25">
      <c r="B147" s="354"/>
      <c r="C147" s="354"/>
      <c r="D147" s="354"/>
      <c r="E147" s="354"/>
      <c r="F147" s="354"/>
      <c r="G147" s="354"/>
      <c r="H147" s="354"/>
      <c r="I147" s="354"/>
      <c r="K147" s="657"/>
      <c r="L147" s="657"/>
      <c r="M147" s="657"/>
      <c r="N147" s="657"/>
      <c r="O147" s="657"/>
      <c r="BW147" s="451">
        <v>0.40277777777777779</v>
      </c>
      <c r="BX147" s="421">
        <v>45862</v>
      </c>
      <c r="BY147" s="452">
        <v>98</v>
      </c>
      <c r="BZ147" s="663">
        <v>10795</v>
      </c>
      <c r="CA147" s="452">
        <f t="shared" si="68"/>
        <v>0</v>
      </c>
      <c r="CB147" s="452">
        <v>10304</v>
      </c>
      <c r="CC147" s="452" t="s">
        <v>706</v>
      </c>
      <c r="CD147" s="452" t="s">
        <v>723</v>
      </c>
      <c r="CH147" s="426">
        <v>0.68402777777777779</v>
      </c>
      <c r="CI147" s="408">
        <v>45903</v>
      </c>
      <c r="CJ147" s="385">
        <v>140</v>
      </c>
      <c r="CK147" s="385">
        <v>3071</v>
      </c>
      <c r="CL147" s="527">
        <f t="shared" si="63"/>
        <v>25</v>
      </c>
      <c r="CM147" s="385">
        <v>11437</v>
      </c>
      <c r="CN147" s="385" t="s">
        <v>406</v>
      </c>
      <c r="CO147" s="385" t="s">
        <v>304</v>
      </c>
      <c r="DN147" s="597" t="s">
        <v>636</v>
      </c>
      <c r="DO147" s="598">
        <v>2260</v>
      </c>
      <c r="DP147" s="566">
        <v>45817</v>
      </c>
      <c r="EX147" s="426">
        <v>0.35902777777777778</v>
      </c>
      <c r="EY147" s="408">
        <v>45846</v>
      </c>
      <c r="EZ147" s="385">
        <v>86</v>
      </c>
      <c r="FA147" s="471">
        <v>6058</v>
      </c>
      <c r="FB147" s="385">
        <f t="shared" si="67"/>
        <v>0</v>
      </c>
      <c r="FC147" s="385">
        <v>10106</v>
      </c>
      <c r="FD147" s="385" t="s">
        <v>351</v>
      </c>
      <c r="FE147" s="385" t="s">
        <v>721</v>
      </c>
    </row>
    <row r="148" spans="2:161" x14ac:dyDescent="0.25">
      <c r="B148" s="354"/>
      <c r="C148" s="354"/>
      <c r="D148" s="354"/>
      <c r="E148" s="354"/>
      <c r="F148" s="354"/>
      <c r="G148" s="354"/>
      <c r="H148" s="354"/>
      <c r="I148" s="354"/>
      <c r="K148" s="657"/>
      <c r="L148" s="657"/>
      <c r="M148" s="657"/>
      <c r="N148" s="657"/>
      <c r="O148" s="657"/>
      <c r="BK148" s="597" t="s">
        <v>438</v>
      </c>
      <c r="BL148" s="664"/>
      <c r="BM148" s="861">
        <v>45721</v>
      </c>
      <c r="BN148" s="469">
        <v>10023</v>
      </c>
      <c r="BV148" s="409" t="s">
        <v>720</v>
      </c>
      <c r="BW148" s="426">
        <v>0.55902777777777779</v>
      </c>
      <c r="BX148" s="408">
        <v>45866</v>
      </c>
      <c r="BY148" s="385">
        <v>104</v>
      </c>
      <c r="BZ148" s="385">
        <v>10848</v>
      </c>
      <c r="CA148" s="452">
        <f t="shared" si="68"/>
        <v>53</v>
      </c>
      <c r="CB148" s="385">
        <v>10324</v>
      </c>
      <c r="CC148" s="385" t="s">
        <v>706</v>
      </c>
      <c r="CD148" s="385" t="s">
        <v>723</v>
      </c>
      <c r="CG148" s="442" t="s">
        <v>697</v>
      </c>
      <c r="CH148" s="426">
        <v>0.46736111111111112</v>
      </c>
      <c r="CI148" s="408">
        <v>45908</v>
      </c>
      <c r="CJ148" s="385">
        <v>150</v>
      </c>
      <c r="CK148" s="385">
        <v>3092</v>
      </c>
      <c r="CL148" s="527">
        <f t="shared" si="63"/>
        <v>21</v>
      </c>
      <c r="CM148" s="385">
        <v>10815</v>
      </c>
      <c r="CN148" s="385" t="s">
        <v>406</v>
      </c>
      <c r="CO148" s="385" t="s">
        <v>304</v>
      </c>
      <c r="EX148" s="426"/>
      <c r="EY148" s="408">
        <v>45848</v>
      </c>
      <c r="EZ148" s="385">
        <v>83</v>
      </c>
      <c r="FA148" s="471">
        <v>6058</v>
      </c>
      <c r="FB148" s="385">
        <f t="shared" si="67"/>
        <v>0</v>
      </c>
      <c r="FC148" s="385">
        <v>10121</v>
      </c>
      <c r="FD148" s="385" t="s">
        <v>351</v>
      </c>
      <c r="FE148" s="385" t="s">
        <v>721</v>
      </c>
    </row>
    <row r="149" spans="2:161" x14ac:dyDescent="0.25">
      <c r="B149" s="354"/>
      <c r="C149" s="354"/>
      <c r="D149" s="354"/>
      <c r="E149" s="354"/>
      <c r="F149" s="354"/>
      <c r="G149" s="354"/>
      <c r="H149" s="354"/>
      <c r="I149" s="354"/>
      <c r="K149" s="657"/>
      <c r="L149" s="657"/>
      <c r="M149" s="657"/>
      <c r="N149" s="657"/>
      <c r="O149" s="657"/>
      <c r="BK149" s="671" t="s">
        <v>242</v>
      </c>
      <c r="BL149" s="804"/>
      <c r="BM149" s="424"/>
      <c r="BN149" s="385">
        <f>BN148+250</f>
        <v>10273</v>
      </c>
      <c r="BW149" s="426"/>
      <c r="BX149" s="408">
        <v>45869</v>
      </c>
      <c r="BY149" s="385">
        <v>101</v>
      </c>
      <c r="BZ149" s="385">
        <v>10867</v>
      </c>
      <c r="CA149" s="452">
        <f t="shared" si="68"/>
        <v>19</v>
      </c>
      <c r="CB149" s="385">
        <v>10228</v>
      </c>
      <c r="CC149" s="385" t="s">
        <v>706</v>
      </c>
      <c r="CD149" s="385" t="s">
        <v>723</v>
      </c>
      <c r="CG149" s="442" t="s">
        <v>697</v>
      </c>
      <c r="CH149" s="426">
        <v>0.49513888888888891</v>
      </c>
      <c r="CI149" s="408">
        <v>45919</v>
      </c>
      <c r="CJ149" s="385">
        <v>173</v>
      </c>
      <c r="CK149" s="385">
        <v>3131</v>
      </c>
      <c r="CL149" s="527">
        <f t="shared" si="63"/>
        <v>39</v>
      </c>
      <c r="CM149" s="385">
        <v>10965</v>
      </c>
      <c r="CN149" s="385" t="s">
        <v>406</v>
      </c>
      <c r="CO149" s="385" t="s">
        <v>304</v>
      </c>
      <c r="EX149" s="451">
        <v>0.61875000000000002</v>
      </c>
      <c r="EY149" s="421">
        <v>45849</v>
      </c>
      <c r="EZ149" s="452">
        <v>34</v>
      </c>
      <c r="FA149" s="452">
        <v>6097</v>
      </c>
      <c r="FB149" s="452">
        <f t="shared" si="67"/>
        <v>39</v>
      </c>
      <c r="FC149" s="452">
        <v>10133</v>
      </c>
      <c r="FD149" s="452" t="s">
        <v>351</v>
      </c>
      <c r="FE149" s="452" t="s">
        <v>721</v>
      </c>
    </row>
    <row r="150" spans="2:161" x14ac:dyDescent="0.25">
      <c r="B150" s="354"/>
      <c r="C150" s="354"/>
      <c r="D150" s="354"/>
      <c r="E150" s="354"/>
      <c r="F150" s="354"/>
      <c r="G150" s="354"/>
      <c r="H150" s="354"/>
      <c r="I150" s="354"/>
      <c r="K150" s="657"/>
      <c r="L150" s="657"/>
      <c r="M150" s="657"/>
      <c r="N150" s="657"/>
      <c r="O150" s="657"/>
      <c r="BK150" s="607" t="s">
        <v>724</v>
      </c>
      <c r="BL150" s="757"/>
      <c r="BM150" s="424"/>
      <c r="BN150" s="385"/>
      <c r="BV150" s="409" t="s">
        <v>720</v>
      </c>
      <c r="BW150" s="426"/>
      <c r="BX150" s="408">
        <v>45875</v>
      </c>
      <c r="BY150" s="385">
        <v>112</v>
      </c>
      <c r="BZ150" s="385">
        <v>10895</v>
      </c>
      <c r="CA150" s="452">
        <f t="shared" si="68"/>
        <v>28</v>
      </c>
      <c r="CB150" s="385">
        <v>11366</v>
      </c>
      <c r="CC150" s="385" t="s">
        <v>706</v>
      </c>
      <c r="CD150" s="385" t="s">
        <v>723</v>
      </c>
      <c r="CG150" s="442" t="s">
        <v>697</v>
      </c>
      <c r="CH150" s="426">
        <v>0.44861111111111113</v>
      </c>
      <c r="CI150" s="408">
        <v>45925</v>
      </c>
      <c r="CJ150" s="385">
        <v>138</v>
      </c>
      <c r="CK150" s="385">
        <v>3153</v>
      </c>
      <c r="CL150" s="527">
        <f t="shared" si="63"/>
        <v>22</v>
      </c>
      <c r="CM150" s="385">
        <v>10998</v>
      </c>
      <c r="CN150" s="385" t="s">
        <v>639</v>
      </c>
      <c r="CO150" s="385" t="s">
        <v>304</v>
      </c>
      <c r="EW150" s="419" t="s">
        <v>287</v>
      </c>
      <c r="EX150" s="426">
        <v>0.32013888888888886</v>
      </c>
      <c r="EY150" s="408">
        <v>45852</v>
      </c>
      <c r="EZ150" s="385">
        <v>51</v>
      </c>
      <c r="FA150" s="385">
        <v>6101</v>
      </c>
      <c r="FB150" s="385">
        <f t="shared" si="67"/>
        <v>4</v>
      </c>
      <c r="FC150" s="385">
        <v>10147</v>
      </c>
      <c r="FD150" s="385" t="s">
        <v>351</v>
      </c>
      <c r="FE150" s="385" t="s">
        <v>721</v>
      </c>
    </row>
    <row r="151" spans="2:161" x14ac:dyDescent="0.25">
      <c r="B151" s="354"/>
      <c r="C151" s="354"/>
      <c r="D151" s="354"/>
      <c r="E151" s="354"/>
      <c r="F151" s="354"/>
      <c r="G151" s="354"/>
      <c r="H151" s="354"/>
      <c r="I151" s="354"/>
      <c r="K151" s="657"/>
      <c r="L151" s="657"/>
      <c r="M151" s="657"/>
      <c r="N151" s="657"/>
      <c r="O151" s="657"/>
      <c r="BW151" s="426">
        <v>0.37777777777777777</v>
      </c>
      <c r="BX151" s="408">
        <v>45880</v>
      </c>
      <c r="BY151" s="385">
        <v>82</v>
      </c>
      <c r="BZ151" s="385">
        <v>10917</v>
      </c>
      <c r="CA151" s="452">
        <f t="shared" si="68"/>
        <v>22</v>
      </c>
      <c r="CB151" s="385">
        <v>10350</v>
      </c>
      <c r="CC151" s="385" t="s">
        <v>706</v>
      </c>
      <c r="CD151" s="385" t="s">
        <v>723</v>
      </c>
      <c r="CG151" s="442" t="s">
        <v>697</v>
      </c>
      <c r="CH151" s="426">
        <v>0.73124999999999996</v>
      </c>
      <c r="CI151" s="408">
        <v>45945</v>
      </c>
      <c r="CJ151" s="385">
        <v>110</v>
      </c>
      <c r="CK151" s="385">
        <v>3173</v>
      </c>
      <c r="CL151" s="527">
        <f t="shared" si="63"/>
        <v>20</v>
      </c>
      <c r="CM151" s="385">
        <v>10877</v>
      </c>
      <c r="CN151" s="385" t="s">
        <v>67</v>
      </c>
      <c r="CO151" s="385" t="s">
        <v>304</v>
      </c>
      <c r="EX151" s="426">
        <v>0.31527777777777777</v>
      </c>
      <c r="EY151" s="408">
        <v>45854</v>
      </c>
      <c r="EZ151" s="385">
        <v>89</v>
      </c>
      <c r="FA151" s="385">
        <v>6117</v>
      </c>
      <c r="FB151" s="385">
        <f t="shared" si="67"/>
        <v>16</v>
      </c>
      <c r="FC151" s="385">
        <v>10158</v>
      </c>
      <c r="FD151" s="385" t="s">
        <v>351</v>
      </c>
      <c r="FE151" s="385" t="s">
        <v>721</v>
      </c>
    </row>
    <row r="152" spans="2:161" x14ac:dyDescent="0.25">
      <c r="B152" s="354"/>
      <c r="C152" s="354"/>
      <c r="D152" s="354"/>
      <c r="E152" s="354"/>
      <c r="F152" s="354"/>
      <c r="G152" s="354"/>
      <c r="H152" s="354"/>
      <c r="I152" s="354"/>
      <c r="K152" s="657"/>
      <c r="L152" s="657"/>
      <c r="M152" s="657"/>
      <c r="N152" s="657"/>
      <c r="O152" s="657"/>
      <c r="BV152" s="409" t="s">
        <v>720</v>
      </c>
      <c r="BW152" s="426">
        <v>0.4909722222222222</v>
      </c>
      <c r="BX152" s="408">
        <v>45955</v>
      </c>
      <c r="BY152" s="385">
        <v>120</v>
      </c>
      <c r="BZ152" s="385">
        <v>10942</v>
      </c>
      <c r="CA152" s="452">
        <f t="shared" si="68"/>
        <v>25</v>
      </c>
      <c r="CB152" s="385">
        <v>11596</v>
      </c>
      <c r="CC152" s="385" t="s">
        <v>706</v>
      </c>
      <c r="CD152" s="385" t="s">
        <v>723</v>
      </c>
      <c r="CG152" s="442" t="s">
        <v>697</v>
      </c>
      <c r="CH152" s="426">
        <v>0.46180555555555558</v>
      </c>
      <c r="CI152" s="408">
        <v>45950</v>
      </c>
      <c r="CJ152" s="385">
        <v>149</v>
      </c>
      <c r="CK152" s="385">
        <v>3195</v>
      </c>
      <c r="CL152" s="527">
        <f t="shared" si="63"/>
        <v>22</v>
      </c>
      <c r="CM152" s="385">
        <v>11559</v>
      </c>
      <c r="CN152" s="385" t="s">
        <v>67</v>
      </c>
      <c r="CO152" s="385" t="s">
        <v>304</v>
      </c>
      <c r="EX152" s="451">
        <v>0.55347222222222225</v>
      </c>
      <c r="EY152" s="421">
        <v>45856</v>
      </c>
      <c r="EZ152" s="452">
        <v>86</v>
      </c>
      <c r="FA152" s="452">
        <v>6117</v>
      </c>
      <c r="FB152" s="452">
        <f t="shared" si="67"/>
        <v>0</v>
      </c>
      <c r="FC152" s="452">
        <v>10178</v>
      </c>
      <c r="FD152" s="452" t="s">
        <v>351</v>
      </c>
      <c r="FE152" s="452" t="s">
        <v>721</v>
      </c>
    </row>
    <row r="153" spans="2:161" x14ac:dyDescent="0.25">
      <c r="B153" s="354"/>
      <c r="C153" s="354"/>
      <c r="D153" s="354"/>
      <c r="E153" s="354"/>
      <c r="F153" s="354"/>
      <c r="G153" s="354"/>
      <c r="H153" s="354"/>
      <c r="I153" s="354"/>
      <c r="K153" s="657"/>
      <c r="L153" s="657"/>
      <c r="M153" s="657"/>
      <c r="N153" s="657"/>
      <c r="O153" s="657"/>
      <c r="BW153" s="451">
        <v>0.47708333333333336</v>
      </c>
      <c r="BX153" s="421">
        <v>45959</v>
      </c>
      <c r="BY153" s="452">
        <v>89</v>
      </c>
      <c r="BZ153" s="452">
        <v>10958</v>
      </c>
      <c r="CA153" s="452">
        <f t="shared" si="68"/>
        <v>16</v>
      </c>
      <c r="CB153" s="452"/>
      <c r="CC153" s="452" t="s">
        <v>706</v>
      </c>
      <c r="CD153" s="452" t="s">
        <v>723</v>
      </c>
      <c r="CH153" s="426">
        <v>0.72916666666666663</v>
      </c>
      <c r="CI153" s="408">
        <v>45951</v>
      </c>
      <c r="CJ153" s="385">
        <v>131</v>
      </c>
      <c r="CK153" s="385">
        <v>3209</v>
      </c>
      <c r="CL153" s="527">
        <f t="shared" si="63"/>
        <v>14</v>
      </c>
      <c r="CM153" s="385">
        <v>11563</v>
      </c>
      <c r="CN153" s="385" t="s">
        <v>67</v>
      </c>
      <c r="CO153" s="385" t="s">
        <v>304</v>
      </c>
      <c r="EW153" s="419" t="s">
        <v>287</v>
      </c>
      <c r="EX153" s="426">
        <v>0.33333333333333331</v>
      </c>
      <c r="EY153" s="408">
        <v>45857</v>
      </c>
      <c r="EZ153" s="385">
        <v>10</v>
      </c>
      <c r="FA153" s="385">
        <v>6136</v>
      </c>
      <c r="FB153" s="385">
        <f t="shared" si="67"/>
        <v>19</v>
      </c>
      <c r="FC153" s="385">
        <v>10187</v>
      </c>
      <c r="FD153" s="385" t="s">
        <v>351</v>
      </c>
      <c r="FE153" s="385" t="s">
        <v>721</v>
      </c>
    </row>
    <row r="154" spans="2:161" x14ac:dyDescent="0.25">
      <c r="B154" s="354"/>
      <c r="C154" s="354"/>
      <c r="D154" s="354"/>
      <c r="E154" s="354"/>
      <c r="F154" s="354"/>
      <c r="G154" s="354"/>
      <c r="H154" s="354"/>
      <c r="I154" s="354"/>
      <c r="K154" s="657"/>
      <c r="L154" s="657"/>
      <c r="M154" s="657"/>
      <c r="N154" s="657"/>
      <c r="O154" s="657"/>
      <c r="BV154" s="409" t="s">
        <v>720</v>
      </c>
      <c r="BW154" s="426">
        <v>0.40694444444444444</v>
      </c>
      <c r="BX154" s="408">
        <v>45962</v>
      </c>
      <c r="BY154" s="385">
        <v>96</v>
      </c>
      <c r="BZ154" s="385">
        <v>10977</v>
      </c>
      <c r="CA154" s="452">
        <f t="shared" si="68"/>
        <v>19</v>
      </c>
      <c r="CB154" s="385">
        <v>9489</v>
      </c>
      <c r="CC154" s="385" t="s">
        <v>706</v>
      </c>
      <c r="CD154" s="385" t="s">
        <v>723</v>
      </c>
      <c r="CH154" s="451">
        <v>0.66527777777777775</v>
      </c>
      <c r="CI154" s="421">
        <v>45953</v>
      </c>
      <c r="CJ154" s="452">
        <v>159</v>
      </c>
      <c r="CK154" s="452">
        <v>3228</v>
      </c>
      <c r="CL154" s="527">
        <f t="shared" si="63"/>
        <v>19</v>
      </c>
      <c r="CM154" s="452">
        <v>11581</v>
      </c>
      <c r="CN154" s="452" t="s">
        <v>67</v>
      </c>
      <c r="CO154" s="452" t="s">
        <v>304</v>
      </c>
      <c r="EX154" s="426">
        <v>0.47916666666666669</v>
      </c>
      <c r="EY154" s="408">
        <v>45860</v>
      </c>
      <c r="EZ154" s="385">
        <v>59</v>
      </c>
      <c r="FA154" s="385">
        <v>6151</v>
      </c>
      <c r="FB154" s="385">
        <f t="shared" si="67"/>
        <v>15</v>
      </c>
      <c r="FC154" s="385">
        <v>10208</v>
      </c>
      <c r="FD154" s="385" t="s">
        <v>351</v>
      </c>
      <c r="FE154" s="385" t="s">
        <v>721</v>
      </c>
    </row>
    <row r="155" spans="2:161" x14ac:dyDescent="0.25">
      <c r="B155" s="354"/>
      <c r="C155" s="354"/>
      <c r="D155" s="354"/>
      <c r="E155" s="354"/>
      <c r="F155" s="354"/>
      <c r="G155" s="354"/>
      <c r="H155" s="354"/>
      <c r="I155" s="354"/>
      <c r="K155" s="657"/>
      <c r="L155" s="657"/>
      <c r="M155" s="657"/>
      <c r="N155" s="657"/>
      <c r="O155" s="657"/>
      <c r="P155" s="348" t="s">
        <v>2</v>
      </c>
      <c r="BW155" s="426">
        <v>0.33819444444444446</v>
      </c>
      <c r="BX155" s="408">
        <v>45968</v>
      </c>
      <c r="BY155" s="385">
        <v>131</v>
      </c>
      <c r="BZ155" s="385">
        <v>10991</v>
      </c>
      <c r="CA155" s="452">
        <f t="shared" si="68"/>
        <v>14</v>
      </c>
      <c r="CB155" s="385">
        <v>11038</v>
      </c>
      <c r="CC155" s="385" t="s">
        <v>706</v>
      </c>
      <c r="CD155" s="385" t="s">
        <v>408</v>
      </c>
      <c r="CG155" s="442" t="s">
        <v>697</v>
      </c>
      <c r="CH155" s="426">
        <v>0.43611111111111112</v>
      </c>
      <c r="CI155" s="408">
        <v>45957</v>
      </c>
      <c r="CJ155" s="385">
        <v>165</v>
      </c>
      <c r="CK155" s="385">
        <v>3250</v>
      </c>
      <c r="CL155" s="527">
        <f t="shared" si="63"/>
        <v>22</v>
      </c>
      <c r="CM155" s="385">
        <v>11599</v>
      </c>
      <c r="CN155" s="385" t="s">
        <v>67</v>
      </c>
      <c r="CO155" s="448" t="s">
        <v>590</v>
      </c>
      <c r="EX155" s="451">
        <v>0.46875</v>
      </c>
      <c r="EY155" s="421">
        <v>45862</v>
      </c>
      <c r="EZ155" s="452">
        <v>80</v>
      </c>
      <c r="FA155" s="452">
        <v>6165</v>
      </c>
      <c r="FB155" s="452">
        <f t="shared" si="67"/>
        <v>14</v>
      </c>
      <c r="FC155" s="452">
        <v>10305</v>
      </c>
      <c r="FD155" s="452" t="s">
        <v>351</v>
      </c>
      <c r="FE155" s="452" t="s">
        <v>721</v>
      </c>
    </row>
    <row r="156" spans="2:161" x14ac:dyDescent="0.25">
      <c r="B156" s="354"/>
      <c r="C156" s="354"/>
      <c r="D156" s="354"/>
      <c r="E156" s="354"/>
      <c r="F156" s="354"/>
      <c r="G156" s="354"/>
      <c r="H156" s="354"/>
      <c r="I156" s="354"/>
      <c r="K156" s="657"/>
      <c r="L156" s="657"/>
      <c r="M156" s="657"/>
      <c r="N156" s="657"/>
      <c r="O156" s="657"/>
      <c r="BV156" s="409" t="s">
        <v>720</v>
      </c>
      <c r="BW156" s="426">
        <v>0.7583333333333333</v>
      </c>
      <c r="BX156" s="408">
        <v>45971</v>
      </c>
      <c r="BY156" s="385">
        <v>40</v>
      </c>
      <c r="BZ156" s="385"/>
      <c r="CA156" s="452">
        <f t="shared" si="68"/>
        <v>-10991</v>
      </c>
      <c r="CB156" s="385">
        <v>11156</v>
      </c>
      <c r="CC156" s="385" t="s">
        <v>706</v>
      </c>
      <c r="CD156" s="385" t="s">
        <v>408</v>
      </c>
      <c r="CH156" s="451">
        <v>0.58958333333333335</v>
      </c>
      <c r="CI156" s="421">
        <v>45960</v>
      </c>
      <c r="CJ156" s="452">
        <v>155</v>
      </c>
      <c r="CK156" s="452">
        <v>3272</v>
      </c>
      <c r="CL156" s="527">
        <f t="shared" si="63"/>
        <v>22</v>
      </c>
      <c r="CM156" s="452">
        <v>9472</v>
      </c>
      <c r="CN156" s="452" t="s">
        <v>67</v>
      </c>
      <c r="CO156" s="452" t="s">
        <v>637</v>
      </c>
      <c r="EW156" s="419" t="s">
        <v>287</v>
      </c>
      <c r="EX156" s="426">
        <v>0.33333333333333331</v>
      </c>
      <c r="EY156" s="408">
        <v>45866</v>
      </c>
      <c r="EZ156" s="385">
        <v>40</v>
      </c>
      <c r="FA156" s="385">
        <v>6182</v>
      </c>
      <c r="FB156" s="385">
        <f t="shared" si="67"/>
        <v>17</v>
      </c>
      <c r="FC156" s="385">
        <v>10322</v>
      </c>
      <c r="FD156" s="385" t="s">
        <v>351</v>
      </c>
      <c r="FE156" s="385" t="s">
        <v>721</v>
      </c>
    </row>
    <row r="157" spans="2:161" x14ac:dyDescent="0.25">
      <c r="B157" s="354"/>
      <c r="C157" s="354"/>
      <c r="D157" s="354"/>
      <c r="E157" s="354"/>
      <c r="F157" s="354"/>
      <c r="G157" s="354"/>
      <c r="H157" s="354"/>
      <c r="I157" s="354"/>
      <c r="K157" s="657"/>
      <c r="L157" s="657"/>
      <c r="M157" s="657"/>
      <c r="N157" s="657"/>
      <c r="O157" s="657"/>
      <c r="BV157" s="409" t="s">
        <v>720</v>
      </c>
      <c r="BW157" s="426"/>
      <c r="BX157" s="408">
        <v>45995</v>
      </c>
      <c r="BY157" s="385">
        <v>40</v>
      </c>
      <c r="BZ157" s="385">
        <v>11009</v>
      </c>
      <c r="CA157" s="839">
        <f t="shared" si="68"/>
        <v>11009</v>
      </c>
      <c r="CB157" s="385">
        <v>11287</v>
      </c>
      <c r="CC157" s="385" t="s">
        <v>706</v>
      </c>
      <c r="CD157" s="385" t="s">
        <v>408</v>
      </c>
      <c r="CE157" s="839" t="s">
        <v>325</v>
      </c>
      <c r="CG157" s="442" t="s">
        <v>697</v>
      </c>
      <c r="CH157" s="426">
        <v>0.50902777777777775</v>
      </c>
      <c r="CI157" s="408">
        <v>45964</v>
      </c>
      <c r="CJ157" s="385">
        <v>153</v>
      </c>
      <c r="CK157" s="385">
        <v>3292</v>
      </c>
      <c r="CL157" s="527">
        <f t="shared" si="63"/>
        <v>20</v>
      </c>
      <c r="CM157" s="385">
        <v>11004</v>
      </c>
      <c r="CN157" s="385" t="s">
        <v>67</v>
      </c>
      <c r="CO157" s="385" t="s">
        <v>637</v>
      </c>
      <c r="EX157" s="426">
        <v>0.66180555555555554</v>
      </c>
      <c r="EY157" s="408">
        <v>45867</v>
      </c>
      <c r="EZ157" s="385">
        <v>70</v>
      </c>
      <c r="FA157" s="385">
        <v>6195</v>
      </c>
      <c r="FB157" s="385">
        <f t="shared" si="67"/>
        <v>13</v>
      </c>
      <c r="FC157" s="385">
        <v>10345</v>
      </c>
      <c r="FD157" s="385" t="s">
        <v>351</v>
      </c>
      <c r="FE157" s="385" t="s">
        <v>721</v>
      </c>
    </row>
    <row r="158" spans="2:161" x14ac:dyDescent="0.25">
      <c r="B158" s="354"/>
      <c r="C158" s="354"/>
      <c r="D158" s="354"/>
      <c r="E158" s="354"/>
      <c r="F158" s="354"/>
      <c r="G158" s="354"/>
      <c r="H158" s="354"/>
      <c r="I158" s="354"/>
      <c r="K158" s="657"/>
      <c r="L158" s="657"/>
      <c r="M158" s="657"/>
      <c r="N158" s="657"/>
      <c r="O158" s="657"/>
      <c r="BV158" s="409" t="s">
        <v>720</v>
      </c>
      <c r="BW158" s="426">
        <v>0.21527777777777779</v>
      </c>
      <c r="BX158" s="408">
        <v>45999</v>
      </c>
      <c r="BY158" s="385">
        <v>119</v>
      </c>
      <c r="BZ158" s="385">
        <v>11010</v>
      </c>
      <c r="CA158" s="452">
        <f t="shared" si="68"/>
        <v>1</v>
      </c>
      <c r="CB158" s="385">
        <v>11626</v>
      </c>
      <c r="CC158" s="385" t="s">
        <v>149</v>
      </c>
      <c r="CD158" s="385" t="s">
        <v>725</v>
      </c>
      <c r="CH158" s="426"/>
      <c r="CI158" s="408">
        <v>45967</v>
      </c>
      <c r="CJ158" s="385">
        <v>162</v>
      </c>
      <c r="CK158" s="385">
        <v>3320</v>
      </c>
      <c r="CL158" s="527">
        <f t="shared" si="63"/>
        <v>28</v>
      </c>
      <c r="CM158" s="385">
        <v>11035</v>
      </c>
      <c r="CN158" s="385" t="s">
        <v>67</v>
      </c>
      <c r="CO158" s="385" t="s">
        <v>637</v>
      </c>
      <c r="EX158" s="451">
        <v>0.36180555555555555</v>
      </c>
      <c r="EY158" s="421">
        <v>45869</v>
      </c>
      <c r="EZ158" s="452">
        <v>24</v>
      </c>
      <c r="FA158" s="452">
        <v>6197</v>
      </c>
      <c r="FB158" s="452">
        <f t="shared" si="67"/>
        <v>2</v>
      </c>
      <c r="FC158" s="452">
        <v>10227</v>
      </c>
      <c r="FD158" s="452" t="s">
        <v>351</v>
      </c>
      <c r="FE158" s="452" t="s">
        <v>721</v>
      </c>
    </row>
    <row r="159" spans="2:161" x14ac:dyDescent="0.25">
      <c r="B159" s="354"/>
      <c r="C159" s="354"/>
      <c r="D159" s="354"/>
      <c r="E159" s="354"/>
      <c r="F159" s="354"/>
      <c r="G159" s="354"/>
      <c r="H159" s="354"/>
      <c r="I159" s="354"/>
      <c r="K159" s="657"/>
      <c r="L159" s="657"/>
      <c r="M159" s="657"/>
      <c r="N159" s="657"/>
      <c r="O159" s="657"/>
      <c r="BW159" s="426">
        <v>0.64722222222222225</v>
      </c>
      <c r="BX159" s="408">
        <v>46002</v>
      </c>
      <c r="BY159" s="385">
        <v>93</v>
      </c>
      <c r="BZ159" s="471">
        <v>11010</v>
      </c>
      <c r="CA159" s="452">
        <f t="shared" si="68"/>
        <v>0</v>
      </c>
      <c r="CB159" s="385">
        <v>11234</v>
      </c>
      <c r="CC159" s="385" t="s">
        <v>706</v>
      </c>
      <c r="CD159" s="385" t="s">
        <v>447</v>
      </c>
      <c r="CG159" s="442" t="s">
        <v>697</v>
      </c>
      <c r="CH159" s="426">
        <v>0.39374999999999999</v>
      </c>
      <c r="CI159" s="408">
        <v>45972</v>
      </c>
      <c r="CJ159" s="385">
        <v>123</v>
      </c>
      <c r="CK159" s="385">
        <v>3342</v>
      </c>
      <c r="CL159" s="527">
        <f t="shared" si="63"/>
        <v>22</v>
      </c>
      <c r="CM159" s="385">
        <v>11159</v>
      </c>
      <c r="CN159" s="385" t="s">
        <v>67</v>
      </c>
      <c r="CO159" s="385" t="s">
        <v>637</v>
      </c>
      <c r="EW159" s="419" t="s">
        <v>287</v>
      </c>
      <c r="EX159" s="426">
        <v>0.33680555555555558</v>
      </c>
      <c r="EY159" s="408">
        <v>45871</v>
      </c>
      <c r="EZ159" s="385">
        <v>66</v>
      </c>
      <c r="FA159" s="385">
        <v>6210</v>
      </c>
      <c r="FB159" s="385">
        <f t="shared" si="67"/>
        <v>13</v>
      </c>
      <c r="FC159" s="385">
        <v>10247</v>
      </c>
      <c r="FD159" s="385" t="s">
        <v>351</v>
      </c>
      <c r="FE159" s="385" t="s">
        <v>721</v>
      </c>
    </row>
    <row r="160" spans="2:161" x14ac:dyDescent="0.25">
      <c r="B160" s="354"/>
      <c r="C160" s="354"/>
      <c r="D160" s="354"/>
      <c r="E160" s="354"/>
      <c r="F160" s="354"/>
      <c r="G160" s="354"/>
      <c r="H160" s="354"/>
      <c r="I160" s="354"/>
      <c r="K160" s="657"/>
      <c r="L160" s="657"/>
      <c r="M160" s="657"/>
      <c r="N160" s="657"/>
      <c r="O160" s="657"/>
      <c r="BW160" s="451">
        <v>0.69097222222222221</v>
      </c>
      <c r="BX160" s="421">
        <v>46003</v>
      </c>
      <c r="BY160" s="452">
        <v>61</v>
      </c>
      <c r="BZ160" s="452">
        <v>11034</v>
      </c>
      <c r="CA160" s="452">
        <f t="shared" si="68"/>
        <v>24</v>
      </c>
      <c r="CB160" s="452">
        <v>11240</v>
      </c>
      <c r="CC160" s="452" t="s">
        <v>706</v>
      </c>
      <c r="CD160" s="452" t="s">
        <v>447</v>
      </c>
      <c r="CH160" s="426">
        <v>0.56666666666666665</v>
      </c>
      <c r="CI160" s="408">
        <v>45975</v>
      </c>
      <c r="CJ160" s="385">
        <v>152</v>
      </c>
      <c r="CK160" s="385">
        <v>3368</v>
      </c>
      <c r="CL160" s="527">
        <f t="shared" si="63"/>
        <v>26</v>
      </c>
      <c r="CM160" s="385">
        <v>11183</v>
      </c>
      <c r="CN160" s="385" t="s">
        <v>67</v>
      </c>
      <c r="CO160" s="385" t="s">
        <v>637</v>
      </c>
      <c r="EX160" s="426">
        <v>0.37152777777777779</v>
      </c>
      <c r="EY160" s="408">
        <v>45874</v>
      </c>
      <c r="EZ160" s="385">
        <v>76</v>
      </c>
      <c r="FA160" s="385">
        <v>6224</v>
      </c>
      <c r="FB160" s="385">
        <f t="shared" si="67"/>
        <v>14</v>
      </c>
      <c r="FC160" s="385">
        <v>11358</v>
      </c>
      <c r="FD160" s="385" t="s">
        <v>351</v>
      </c>
      <c r="FE160" s="385" t="s">
        <v>721</v>
      </c>
    </row>
    <row r="161" spans="2:162" x14ac:dyDescent="0.25">
      <c r="B161" s="354"/>
      <c r="C161" s="354"/>
      <c r="D161" s="354"/>
      <c r="E161" s="354"/>
      <c r="F161" s="354"/>
      <c r="G161" s="354"/>
      <c r="H161" s="354"/>
      <c r="I161" s="354"/>
      <c r="K161" s="657"/>
      <c r="L161" s="657"/>
      <c r="M161" s="657"/>
      <c r="N161" s="657"/>
      <c r="O161" s="657"/>
      <c r="BV161" s="409" t="s">
        <v>720</v>
      </c>
      <c r="BW161" s="426">
        <v>0.40208333333333335</v>
      </c>
      <c r="BX161" s="408">
        <v>46007</v>
      </c>
      <c r="BY161" s="385">
        <v>136</v>
      </c>
      <c r="BZ161" s="385">
        <v>11049</v>
      </c>
      <c r="CA161" s="452">
        <f t="shared" si="68"/>
        <v>15</v>
      </c>
      <c r="CB161" s="385">
        <v>11111</v>
      </c>
      <c r="CC161" s="385" t="s">
        <v>706</v>
      </c>
      <c r="CD161" s="385" t="s">
        <v>447</v>
      </c>
      <c r="CG161" s="442" t="s">
        <v>697</v>
      </c>
      <c r="CH161" s="426">
        <v>0.57777777777777772</v>
      </c>
      <c r="CI161" s="408">
        <v>45981</v>
      </c>
      <c r="CJ161" s="385">
        <v>114</v>
      </c>
      <c r="CK161" s="385">
        <v>3393</v>
      </c>
      <c r="CL161" s="527">
        <f t="shared" si="63"/>
        <v>25</v>
      </c>
      <c r="CM161" s="385">
        <v>11062</v>
      </c>
      <c r="CN161" s="385" t="s">
        <v>67</v>
      </c>
      <c r="CO161" s="385" t="s">
        <v>637</v>
      </c>
      <c r="EX161" s="426"/>
      <c r="EY161" s="408">
        <v>45876</v>
      </c>
      <c r="EZ161" s="385">
        <v>86</v>
      </c>
      <c r="FA161" s="385">
        <v>6240</v>
      </c>
      <c r="FB161" s="385">
        <f t="shared" si="67"/>
        <v>16</v>
      </c>
      <c r="FC161" s="385">
        <v>11377</v>
      </c>
      <c r="FD161" s="385" t="s">
        <v>351</v>
      </c>
      <c r="FE161" s="385" t="s">
        <v>721</v>
      </c>
    </row>
    <row r="162" spans="2:162" x14ac:dyDescent="0.25">
      <c r="B162" s="354"/>
      <c r="C162" s="354"/>
      <c r="D162" s="354"/>
      <c r="E162" s="354"/>
      <c r="F162" s="354"/>
      <c r="G162" s="354"/>
      <c r="H162" s="354"/>
      <c r="I162" s="354"/>
      <c r="K162" s="355"/>
      <c r="L162" s="355"/>
      <c r="M162" s="355"/>
      <c r="N162" s="355"/>
      <c r="O162" s="355"/>
      <c r="BW162" s="451">
        <v>0.70972222222222225</v>
      </c>
      <c r="BX162" s="421">
        <v>46009</v>
      </c>
      <c r="BY162" s="452">
        <v>106</v>
      </c>
      <c r="BZ162" s="452">
        <v>11071</v>
      </c>
      <c r="CA162" s="452">
        <f t="shared" si="68"/>
        <v>22</v>
      </c>
      <c r="CB162" s="452">
        <v>11126</v>
      </c>
      <c r="CC162" s="452" t="s">
        <v>706</v>
      </c>
      <c r="CD162" s="452" t="s">
        <v>447</v>
      </c>
      <c r="CG162" s="442" t="s">
        <v>697</v>
      </c>
      <c r="CH162" s="426">
        <v>0.61527777777777781</v>
      </c>
      <c r="CI162" s="408">
        <v>45986</v>
      </c>
      <c r="CJ162" s="385">
        <v>145</v>
      </c>
      <c r="CK162" s="385">
        <v>3414</v>
      </c>
      <c r="CL162" s="527">
        <f t="shared" si="63"/>
        <v>21</v>
      </c>
      <c r="CM162" s="385">
        <v>11092</v>
      </c>
      <c r="CN162" s="385" t="s">
        <v>67</v>
      </c>
      <c r="CO162" s="385" t="s">
        <v>637</v>
      </c>
      <c r="EW162" s="419" t="s">
        <v>287</v>
      </c>
      <c r="EX162" s="426">
        <v>0.39583333333333331</v>
      </c>
      <c r="EY162" s="408">
        <v>45884</v>
      </c>
      <c r="EZ162" s="385">
        <v>50</v>
      </c>
      <c r="FA162" s="385"/>
      <c r="FB162" s="385">
        <f t="shared" si="67"/>
        <v>-6240</v>
      </c>
      <c r="FC162" s="385">
        <v>9980</v>
      </c>
      <c r="FD162" s="385" t="s">
        <v>320</v>
      </c>
      <c r="FE162" s="385" t="s">
        <v>149</v>
      </c>
    </row>
    <row r="163" spans="2:162" x14ac:dyDescent="0.25">
      <c r="B163" s="354"/>
      <c r="C163" s="354"/>
      <c r="D163" s="354"/>
      <c r="E163" s="354"/>
      <c r="F163" s="354"/>
      <c r="G163" s="354"/>
      <c r="H163" s="354"/>
      <c r="I163" s="354"/>
      <c r="K163" s="355"/>
      <c r="L163" s="355"/>
      <c r="M163" s="355"/>
      <c r="N163" s="355"/>
      <c r="O163" s="355"/>
      <c r="BV163" s="409" t="s">
        <v>720</v>
      </c>
      <c r="BW163" s="426">
        <v>0.37638888888888888</v>
      </c>
      <c r="BX163" s="408">
        <v>46014</v>
      </c>
      <c r="BY163" s="385">
        <v>119</v>
      </c>
      <c r="BZ163" s="385">
        <v>11094</v>
      </c>
      <c r="CA163" s="452">
        <f t="shared" si="68"/>
        <v>23</v>
      </c>
      <c r="CB163" s="385">
        <v>11147</v>
      </c>
      <c r="CC163" s="385" t="s">
        <v>706</v>
      </c>
      <c r="CD163" s="385" t="s">
        <v>447</v>
      </c>
      <c r="CG163" s="442" t="s">
        <v>697</v>
      </c>
      <c r="CH163" s="426">
        <v>0.60069444444444442</v>
      </c>
      <c r="CI163" s="408">
        <v>45992</v>
      </c>
      <c r="CJ163" s="385">
        <v>100</v>
      </c>
      <c r="CK163" s="385">
        <v>3425</v>
      </c>
      <c r="CL163" s="527">
        <f t="shared" si="63"/>
        <v>11</v>
      </c>
      <c r="CM163" s="385">
        <v>11266</v>
      </c>
      <c r="CN163" s="385"/>
      <c r="CO163" s="385" t="s">
        <v>637</v>
      </c>
      <c r="EW163" s="419" t="s">
        <v>287</v>
      </c>
      <c r="EX163" s="862">
        <v>0.40277777777777779</v>
      </c>
      <c r="EY163" s="851">
        <v>45894</v>
      </c>
      <c r="EZ163" s="448">
        <v>57</v>
      </c>
      <c r="FA163" s="448">
        <v>0</v>
      </c>
      <c r="FB163" s="448">
        <f t="shared" si="67"/>
        <v>0</v>
      </c>
      <c r="FC163" s="448">
        <v>10182</v>
      </c>
      <c r="FD163" s="448" t="s">
        <v>320</v>
      </c>
      <c r="FE163" s="448" t="s">
        <v>575</v>
      </c>
      <c r="FF163" s="448" t="s">
        <v>726</v>
      </c>
    </row>
    <row r="164" spans="2:162" x14ac:dyDescent="0.25">
      <c r="B164" s="354"/>
      <c r="C164" s="354"/>
      <c r="D164" s="354"/>
      <c r="E164" s="354"/>
      <c r="F164" s="354"/>
      <c r="G164" s="354"/>
      <c r="H164" s="354"/>
      <c r="I164" s="354"/>
      <c r="K164" s="657"/>
      <c r="L164" s="657"/>
      <c r="M164" s="657"/>
      <c r="N164" s="657"/>
      <c r="O164" s="657"/>
      <c r="BV164" s="409" t="s">
        <v>720</v>
      </c>
      <c r="BW164" s="426">
        <v>0.36041666666666666</v>
      </c>
      <c r="BX164" s="408">
        <v>46383</v>
      </c>
      <c r="BY164" s="385">
        <v>131</v>
      </c>
      <c r="BZ164" s="385">
        <v>11112</v>
      </c>
      <c r="CA164" s="452">
        <f t="shared" si="68"/>
        <v>18</v>
      </c>
      <c r="CB164" s="385">
        <v>9960</v>
      </c>
      <c r="CC164" s="385" t="s">
        <v>706</v>
      </c>
      <c r="CD164" s="385" t="s">
        <v>447</v>
      </c>
      <c r="CH164" s="426">
        <v>0.71458333333333335</v>
      </c>
      <c r="CI164" s="408">
        <v>45995</v>
      </c>
      <c r="CJ164" s="385">
        <v>173</v>
      </c>
      <c r="CK164" s="471">
        <v>3425</v>
      </c>
      <c r="CL164" s="527">
        <f t="shared" si="63"/>
        <v>0</v>
      </c>
      <c r="CM164" s="385">
        <v>11288</v>
      </c>
      <c r="CN164" s="385" t="s">
        <v>170</v>
      </c>
      <c r="CO164" s="385" t="s">
        <v>637</v>
      </c>
      <c r="EX164" s="451">
        <v>0.69444444444444442</v>
      </c>
      <c r="EY164" s="421">
        <v>45896</v>
      </c>
      <c r="EZ164" s="452">
        <v>47</v>
      </c>
      <c r="FA164" s="452">
        <v>6272</v>
      </c>
      <c r="FB164" s="452">
        <f t="shared" si="67"/>
        <v>6272</v>
      </c>
      <c r="FC164" s="452">
        <v>10182</v>
      </c>
      <c r="FD164" s="452"/>
      <c r="FE164" s="452" t="s">
        <v>434</v>
      </c>
      <c r="FF164" s="452"/>
    </row>
    <row r="165" spans="2:162" x14ac:dyDescent="0.25">
      <c r="B165" s="354"/>
      <c r="C165" s="354"/>
      <c r="D165" s="354"/>
      <c r="E165" s="354"/>
      <c r="F165" s="354"/>
      <c r="G165" s="354"/>
      <c r="H165" s="354"/>
      <c r="I165" s="354"/>
      <c r="K165" s="657"/>
      <c r="L165" s="657"/>
      <c r="M165" s="657"/>
      <c r="N165" s="657"/>
      <c r="O165" s="657"/>
      <c r="BW165" s="426">
        <v>0.69513888888888886</v>
      </c>
      <c r="BX165" s="408">
        <v>46386</v>
      </c>
      <c r="BY165" s="385">
        <v>121</v>
      </c>
      <c r="BZ165" s="385">
        <v>11128</v>
      </c>
      <c r="CA165" s="452">
        <f t="shared" si="68"/>
        <v>16</v>
      </c>
      <c r="CB165" s="385">
        <v>9968</v>
      </c>
      <c r="CC165" s="385" t="s">
        <v>706</v>
      </c>
      <c r="CD165" s="385" t="s">
        <v>447</v>
      </c>
      <c r="CG165" s="442" t="s">
        <v>697</v>
      </c>
      <c r="CH165" s="426">
        <v>0.48680555555555555</v>
      </c>
      <c r="CI165" s="408">
        <v>46002</v>
      </c>
      <c r="CJ165" s="385">
        <v>100</v>
      </c>
      <c r="CK165" s="385">
        <v>3465</v>
      </c>
      <c r="CL165" s="527">
        <f t="shared" si="63"/>
        <v>40</v>
      </c>
      <c r="CM165" s="385">
        <v>11233</v>
      </c>
      <c r="CN165" s="385" t="s">
        <v>67</v>
      </c>
      <c r="CO165" s="385" t="s">
        <v>637</v>
      </c>
      <c r="EW165" s="419" t="s">
        <v>287</v>
      </c>
      <c r="EX165" s="426">
        <v>0.43333333333333335</v>
      </c>
      <c r="EY165" s="408">
        <v>45902</v>
      </c>
      <c r="EZ165" s="385">
        <v>99</v>
      </c>
      <c r="FA165" s="385">
        <v>6299</v>
      </c>
      <c r="FB165" s="385">
        <f t="shared" si="67"/>
        <v>27</v>
      </c>
      <c r="FC165" s="385">
        <v>11422</v>
      </c>
      <c r="FD165" s="385" t="s">
        <v>727</v>
      </c>
      <c r="FE165" s="385" t="s">
        <v>434</v>
      </c>
      <c r="FF165" s="385"/>
    </row>
    <row r="166" spans="2:162" x14ac:dyDescent="0.25">
      <c r="B166" s="354"/>
      <c r="C166" s="354"/>
      <c r="D166" s="354"/>
      <c r="E166" s="354"/>
      <c r="F166" s="354"/>
      <c r="G166" s="354"/>
      <c r="H166" s="354"/>
      <c r="I166" s="354"/>
      <c r="K166" s="657"/>
      <c r="L166" s="657"/>
      <c r="M166" s="657"/>
      <c r="N166" s="657"/>
      <c r="O166" s="657"/>
      <c r="BW166" s="451">
        <v>0.375</v>
      </c>
      <c r="BX166" s="421">
        <v>46024</v>
      </c>
      <c r="BY166" s="452">
        <v>13</v>
      </c>
      <c r="BZ166" s="452">
        <v>11134</v>
      </c>
      <c r="CA166" s="452">
        <f t="shared" si="68"/>
        <v>6</v>
      </c>
      <c r="CB166" s="452">
        <v>9974</v>
      </c>
      <c r="CC166" s="452" t="s">
        <v>706</v>
      </c>
      <c r="CD166" s="452" t="s">
        <v>447</v>
      </c>
      <c r="CG166" s="442" t="s">
        <v>697</v>
      </c>
      <c r="CH166" s="426">
        <v>0.40972222222222221</v>
      </c>
      <c r="CI166" s="408">
        <v>46010</v>
      </c>
      <c r="CJ166" s="385">
        <v>177</v>
      </c>
      <c r="CK166" s="385">
        <v>3491</v>
      </c>
      <c r="CL166" s="527">
        <f t="shared" si="63"/>
        <v>26</v>
      </c>
      <c r="CM166" s="385">
        <v>11134</v>
      </c>
      <c r="CN166" s="385" t="s">
        <v>67</v>
      </c>
      <c r="CO166" s="385" t="s">
        <v>637</v>
      </c>
      <c r="EX166" s="426">
        <v>0.53541666666666665</v>
      </c>
      <c r="EY166" s="408">
        <v>45905</v>
      </c>
      <c r="EZ166" s="385">
        <v>77</v>
      </c>
      <c r="FA166" s="714">
        <v>77</v>
      </c>
      <c r="FB166" s="385">
        <f t="shared" si="67"/>
        <v>-6222</v>
      </c>
      <c r="FC166" s="385">
        <v>10800</v>
      </c>
      <c r="FD166" s="385" t="s">
        <v>727</v>
      </c>
      <c r="FE166" s="385" t="s">
        <v>434</v>
      </c>
      <c r="FF166" s="385"/>
    </row>
    <row r="167" spans="2:162" x14ac:dyDescent="0.25">
      <c r="B167" s="354"/>
      <c r="C167" s="354"/>
      <c r="D167" s="354"/>
      <c r="E167" s="354"/>
      <c r="F167" s="354"/>
      <c r="G167" s="354"/>
      <c r="H167" s="354"/>
      <c r="I167" s="354"/>
      <c r="K167" s="657"/>
      <c r="L167" s="657"/>
      <c r="M167" s="657"/>
      <c r="N167" s="657"/>
      <c r="O167" s="657"/>
      <c r="BV167" s="409" t="s">
        <v>720</v>
      </c>
      <c r="BW167" s="426">
        <v>0.67083333333333328</v>
      </c>
      <c r="BX167" s="408">
        <v>46029</v>
      </c>
      <c r="BY167" s="385">
        <v>123</v>
      </c>
      <c r="BZ167" s="385">
        <v>11156</v>
      </c>
      <c r="CA167" s="452">
        <f t="shared" si="68"/>
        <v>22</v>
      </c>
      <c r="CB167" s="385">
        <v>9901</v>
      </c>
      <c r="CC167" s="385" t="s">
        <v>706</v>
      </c>
      <c r="CD167" s="385" t="s">
        <v>447</v>
      </c>
      <c r="CG167" s="442" t="s">
        <v>697</v>
      </c>
      <c r="CH167" s="426">
        <v>0.24166666666666667</v>
      </c>
      <c r="CI167" s="408">
        <v>46017</v>
      </c>
      <c r="CJ167" s="385">
        <v>145</v>
      </c>
      <c r="CK167" s="385">
        <v>3526</v>
      </c>
      <c r="CL167" s="527">
        <f t="shared" si="63"/>
        <v>35</v>
      </c>
      <c r="CM167" s="385">
        <v>9957</v>
      </c>
      <c r="CN167" s="385" t="s">
        <v>67</v>
      </c>
      <c r="CO167" s="385" t="s">
        <v>637</v>
      </c>
      <c r="CP167" s="448" t="s">
        <v>590</v>
      </c>
      <c r="EW167" s="419" t="s">
        <v>287</v>
      </c>
      <c r="EX167" s="426">
        <v>0.77152777777777781</v>
      </c>
      <c r="EY167" s="408">
        <v>45910</v>
      </c>
      <c r="EZ167" s="385">
        <v>66</v>
      </c>
      <c r="FA167" s="385">
        <v>77</v>
      </c>
      <c r="FB167" s="385">
        <f t="shared" si="67"/>
        <v>0</v>
      </c>
      <c r="FC167" s="385">
        <v>10823</v>
      </c>
      <c r="FD167" s="385" t="s">
        <v>727</v>
      </c>
      <c r="FE167" s="385" t="s">
        <v>434</v>
      </c>
      <c r="FF167" s="385"/>
    </row>
    <row r="168" spans="2:162" x14ac:dyDescent="0.25">
      <c r="B168" s="354"/>
      <c r="C168" s="354"/>
      <c r="D168" s="354"/>
      <c r="E168" s="354"/>
      <c r="F168" s="354"/>
      <c r="G168" s="354"/>
      <c r="H168" s="354"/>
      <c r="I168" s="354"/>
      <c r="K168" s="657"/>
      <c r="L168" s="657"/>
      <c r="M168" s="657"/>
      <c r="N168" s="657"/>
      <c r="O168" s="657"/>
      <c r="BV168" s="409" t="s">
        <v>720</v>
      </c>
      <c r="BW168" s="491">
        <v>0.45624999999999999</v>
      </c>
      <c r="BX168" s="513">
        <v>46032</v>
      </c>
      <c r="BY168" s="469">
        <v>115</v>
      </c>
      <c r="BZ168" s="469">
        <v>11173</v>
      </c>
      <c r="CA168" s="795">
        <f t="shared" si="68"/>
        <v>17</v>
      </c>
      <c r="CB168" s="469">
        <v>9919</v>
      </c>
      <c r="CC168" s="469" t="s">
        <v>706</v>
      </c>
      <c r="CD168" s="469" t="s">
        <v>447</v>
      </c>
      <c r="CG168" s="442" t="s">
        <v>697</v>
      </c>
      <c r="CH168" s="426">
        <v>0.80208333333333337</v>
      </c>
      <c r="CI168" s="408">
        <v>46042</v>
      </c>
      <c r="CJ168" s="385">
        <v>156</v>
      </c>
      <c r="CK168" s="471">
        <v>3526</v>
      </c>
      <c r="CL168" s="527">
        <f t="shared" si="63"/>
        <v>0</v>
      </c>
      <c r="CM168" s="385">
        <v>10632</v>
      </c>
      <c r="CN168" s="385" t="s">
        <v>67</v>
      </c>
      <c r="CO168" s="385" t="s">
        <v>637</v>
      </c>
      <c r="EW168" s="419" t="s">
        <v>287</v>
      </c>
      <c r="EX168" s="426"/>
      <c r="EY168" s="408">
        <v>45917</v>
      </c>
      <c r="EZ168" s="385">
        <v>59</v>
      </c>
      <c r="FA168" s="385">
        <v>96</v>
      </c>
      <c r="FB168" s="385">
        <f t="shared" si="67"/>
        <v>19</v>
      </c>
      <c r="FC168" s="385">
        <v>10846</v>
      </c>
      <c r="FD168" s="385" t="s">
        <v>727</v>
      </c>
      <c r="FE168" s="385" t="s">
        <v>434</v>
      </c>
      <c r="FF168" s="385"/>
    </row>
    <row r="169" spans="2:162" x14ac:dyDescent="0.25">
      <c r="B169" s="354"/>
      <c r="C169" s="354"/>
      <c r="D169" s="354"/>
      <c r="E169" s="354"/>
      <c r="F169" s="354"/>
      <c r="G169" s="354"/>
      <c r="H169" s="354"/>
      <c r="I169" s="354"/>
      <c r="K169" s="657"/>
      <c r="L169" s="657"/>
      <c r="M169" s="657"/>
      <c r="N169" s="657"/>
      <c r="O169" s="657"/>
      <c r="CG169" s="442" t="s">
        <v>697</v>
      </c>
      <c r="CH169" s="700">
        <v>0.84027777777777779</v>
      </c>
      <c r="CI169" s="701">
        <v>46050</v>
      </c>
      <c r="CJ169" s="539">
        <v>174</v>
      </c>
      <c r="CK169" s="471">
        <v>3526</v>
      </c>
      <c r="CL169" s="527">
        <f t="shared" si="63"/>
        <v>0</v>
      </c>
      <c r="CM169" s="385">
        <v>10681</v>
      </c>
      <c r="CN169" s="385" t="s">
        <v>67</v>
      </c>
      <c r="CO169" s="385" t="s">
        <v>637</v>
      </c>
      <c r="EW169" s="419" t="s">
        <v>287</v>
      </c>
      <c r="EX169" s="426">
        <v>0.30763888888888891</v>
      </c>
      <c r="EY169" s="408">
        <v>45922</v>
      </c>
      <c r="EZ169" s="385">
        <v>66</v>
      </c>
      <c r="FA169" s="385">
        <v>119</v>
      </c>
      <c r="FB169" s="385">
        <f t="shared" si="67"/>
        <v>23</v>
      </c>
      <c r="FC169" s="385">
        <v>10977</v>
      </c>
      <c r="FD169" s="385" t="s">
        <v>727</v>
      </c>
      <c r="FE169" s="385" t="s">
        <v>434</v>
      </c>
      <c r="FF169" s="385"/>
    </row>
    <row r="170" spans="2:162" x14ac:dyDescent="0.25">
      <c r="B170" s="354"/>
      <c r="C170" s="354"/>
      <c r="D170" s="354"/>
      <c r="E170" s="354"/>
      <c r="F170" s="354"/>
      <c r="G170" s="354"/>
      <c r="H170" s="354"/>
      <c r="I170" s="354"/>
      <c r="K170" s="657"/>
      <c r="L170" s="657"/>
      <c r="M170" s="657"/>
      <c r="N170" s="657"/>
      <c r="O170" s="657"/>
      <c r="CG170" s="442" t="s">
        <v>697</v>
      </c>
      <c r="CH170" s="700">
        <v>0.54097222222222219</v>
      </c>
      <c r="CI170" s="701">
        <v>46057</v>
      </c>
      <c r="CJ170" s="539">
        <v>51</v>
      </c>
      <c r="CK170" s="539">
        <v>3626</v>
      </c>
      <c r="CL170" s="527">
        <f t="shared" si="63"/>
        <v>100</v>
      </c>
      <c r="CM170" s="385">
        <v>10426</v>
      </c>
      <c r="CN170" s="385" t="s">
        <v>67</v>
      </c>
      <c r="CO170" s="385" t="s">
        <v>637</v>
      </c>
      <c r="EW170" s="419" t="s">
        <v>287</v>
      </c>
      <c r="EX170" s="426">
        <v>0.29236111111111113</v>
      </c>
      <c r="EY170" s="408">
        <v>45932</v>
      </c>
      <c r="EZ170" s="385">
        <v>87</v>
      </c>
      <c r="FA170" s="385">
        <v>150</v>
      </c>
      <c r="FB170" s="385">
        <f t="shared" si="67"/>
        <v>31</v>
      </c>
      <c r="FC170" s="385">
        <v>10937</v>
      </c>
      <c r="FD170" s="385" t="s">
        <v>117</v>
      </c>
      <c r="FE170" s="385" t="s">
        <v>457</v>
      </c>
      <c r="FF170" s="385"/>
    </row>
    <row r="171" spans="2:162" x14ac:dyDescent="0.25">
      <c r="B171" s="354"/>
      <c r="C171" s="354"/>
      <c r="D171" s="354"/>
      <c r="E171" s="354"/>
      <c r="F171" s="354"/>
      <c r="G171" s="354"/>
      <c r="H171" s="354"/>
      <c r="I171" s="354"/>
      <c r="K171" s="657"/>
      <c r="L171" s="657"/>
      <c r="M171" s="657"/>
      <c r="N171" s="657"/>
      <c r="O171" s="657"/>
      <c r="CG171" s="442" t="s">
        <v>697</v>
      </c>
      <c r="CH171" s="700">
        <v>0.54374999999999996</v>
      </c>
      <c r="CI171" s="701">
        <v>46063</v>
      </c>
      <c r="CJ171" s="539">
        <v>151</v>
      </c>
      <c r="CK171" s="539">
        <v>3636</v>
      </c>
      <c r="CL171" s="527">
        <f t="shared" si="63"/>
        <v>10</v>
      </c>
      <c r="CM171" s="385">
        <v>10533</v>
      </c>
      <c r="CN171" s="385" t="s">
        <v>573</v>
      </c>
      <c r="CO171" s="385" t="s">
        <v>637</v>
      </c>
      <c r="EW171" s="419" t="s">
        <v>287</v>
      </c>
      <c r="EX171" s="426">
        <v>0.45833333333333331</v>
      </c>
      <c r="EY171" s="408">
        <v>45938</v>
      </c>
      <c r="EZ171" s="385">
        <v>80</v>
      </c>
      <c r="FA171" s="385">
        <v>174</v>
      </c>
      <c r="FB171" s="385">
        <f t="shared" si="67"/>
        <v>24</v>
      </c>
      <c r="FC171" s="385">
        <v>10860</v>
      </c>
      <c r="FD171" s="385" t="s">
        <v>117</v>
      </c>
      <c r="FE171" s="385" t="s">
        <v>728</v>
      </c>
      <c r="FF171" s="385"/>
    </row>
    <row r="172" spans="2:162" x14ac:dyDescent="0.25">
      <c r="B172" s="354"/>
      <c r="C172" s="354"/>
      <c r="D172" s="354"/>
      <c r="E172" s="354"/>
      <c r="F172" s="354"/>
      <c r="G172" s="354"/>
      <c r="H172" s="354"/>
      <c r="I172" s="354"/>
      <c r="K172" s="657"/>
      <c r="L172" s="657"/>
      <c r="M172" s="657"/>
      <c r="N172" s="657"/>
      <c r="O172" s="657"/>
      <c r="BV172" s="358" t="s">
        <v>242</v>
      </c>
      <c r="BW172" s="453"/>
      <c r="BX172" s="348">
        <f>BX173+250</f>
        <v>11250</v>
      </c>
      <c r="CH172" s="700">
        <v>0.71666666666666667</v>
      </c>
      <c r="CI172" s="701">
        <v>46064</v>
      </c>
      <c r="CJ172" s="539">
        <v>86</v>
      </c>
      <c r="CK172" s="539">
        <v>3646</v>
      </c>
      <c r="CL172" s="527">
        <f t="shared" si="63"/>
        <v>10</v>
      </c>
      <c r="CM172" s="385">
        <v>10543</v>
      </c>
      <c r="CN172" s="385" t="s">
        <v>168</v>
      </c>
      <c r="CO172" s="385" t="s">
        <v>729</v>
      </c>
      <c r="EW172" s="419" t="s">
        <v>287</v>
      </c>
      <c r="EX172" s="426">
        <v>0.45</v>
      </c>
      <c r="EY172" s="408">
        <v>45944</v>
      </c>
      <c r="EZ172" s="385">
        <v>58</v>
      </c>
      <c r="FA172" s="385">
        <v>182</v>
      </c>
      <c r="FB172" s="385">
        <f t="shared" si="67"/>
        <v>8</v>
      </c>
      <c r="FC172" s="385">
        <v>10860</v>
      </c>
      <c r="FD172" s="385" t="s">
        <v>117</v>
      </c>
      <c r="FE172" s="385" t="s">
        <v>728</v>
      </c>
      <c r="FF172" s="385"/>
    </row>
    <row r="173" spans="2:162" x14ac:dyDescent="0.25">
      <c r="B173" s="354"/>
      <c r="C173" s="354"/>
      <c r="D173" s="354"/>
      <c r="E173" s="354"/>
      <c r="F173" s="354"/>
      <c r="G173" s="354"/>
      <c r="H173" s="354"/>
      <c r="I173" s="354"/>
      <c r="K173" s="657"/>
      <c r="L173" s="657"/>
      <c r="M173" s="657"/>
      <c r="N173" s="657"/>
      <c r="O173" s="657"/>
      <c r="BV173" s="671" t="s">
        <v>438</v>
      </c>
      <c r="BW173" s="804"/>
      <c r="BX173" s="348">
        <v>11000</v>
      </c>
      <c r="BY173" s="566">
        <v>45995</v>
      </c>
      <c r="CH173" s="700">
        <v>0.36249999999999999</v>
      </c>
      <c r="CI173" s="701">
        <v>46066</v>
      </c>
      <c r="CJ173" s="539">
        <v>120</v>
      </c>
      <c r="CK173" s="539">
        <v>3656</v>
      </c>
      <c r="CL173" s="527">
        <f t="shared" ref="CL173:CL217" si="69">CK173-CK172</f>
        <v>10</v>
      </c>
      <c r="CM173" s="385">
        <v>10455</v>
      </c>
      <c r="CN173" s="385" t="s">
        <v>168</v>
      </c>
      <c r="CO173" s="385" t="s">
        <v>729</v>
      </c>
      <c r="EW173" s="419" t="s">
        <v>287</v>
      </c>
      <c r="EX173" s="426">
        <v>0.59930555555555554</v>
      </c>
      <c r="EY173" s="408">
        <v>45954</v>
      </c>
      <c r="EZ173" s="385">
        <v>68</v>
      </c>
      <c r="FA173" s="385">
        <v>202</v>
      </c>
      <c r="FB173" s="385">
        <f t="shared" si="67"/>
        <v>20</v>
      </c>
      <c r="FC173" s="385">
        <v>11587</v>
      </c>
      <c r="FD173" s="385" t="s">
        <v>631</v>
      </c>
      <c r="FE173" s="385" t="s">
        <v>730</v>
      </c>
      <c r="FF173" s="385"/>
    </row>
    <row r="174" spans="2:162" x14ac:dyDescent="0.25">
      <c r="B174" s="354"/>
      <c r="C174" s="354"/>
      <c r="D174" s="354"/>
      <c r="E174" s="354"/>
      <c r="F174" s="354"/>
      <c r="G174" s="354"/>
      <c r="H174" s="354"/>
      <c r="I174" s="354"/>
      <c r="K174" s="657"/>
      <c r="L174" s="657"/>
      <c r="M174" s="657"/>
      <c r="N174" s="657"/>
      <c r="O174" s="657"/>
      <c r="BV174" s="597" t="s">
        <v>564</v>
      </c>
      <c r="BW174" s="664"/>
      <c r="BX174" s="486">
        <v>10730</v>
      </c>
      <c r="BY174" s="408">
        <v>45758</v>
      </c>
      <c r="CG174" s="442" t="s">
        <v>697</v>
      </c>
      <c r="CH174" s="700">
        <v>0.3659722222222222</v>
      </c>
      <c r="CI174" s="701">
        <v>46069</v>
      </c>
      <c r="CJ174" s="539">
        <v>159</v>
      </c>
      <c r="CK174" s="539">
        <v>3670</v>
      </c>
      <c r="CL174" s="527">
        <f t="shared" si="69"/>
        <v>14</v>
      </c>
      <c r="CM174" s="385">
        <v>10476</v>
      </c>
      <c r="CN174" s="385" t="s">
        <v>168</v>
      </c>
      <c r="CO174" s="385" t="s">
        <v>729</v>
      </c>
      <c r="EW174" s="419" t="s">
        <v>287</v>
      </c>
      <c r="EX174" s="426"/>
      <c r="EY174" s="408">
        <v>45960</v>
      </c>
      <c r="EZ174" s="385">
        <v>29</v>
      </c>
      <c r="FA174" s="385">
        <v>210</v>
      </c>
      <c r="FB174" s="385">
        <f t="shared" si="67"/>
        <v>8</v>
      </c>
      <c r="FC174" s="385">
        <v>9471</v>
      </c>
      <c r="FD174" s="385" t="s">
        <v>631</v>
      </c>
      <c r="FE174" s="385" t="s">
        <v>730</v>
      </c>
    </row>
    <row r="175" spans="2:162" x14ac:dyDescent="0.25">
      <c r="B175" s="354"/>
      <c r="C175" s="354"/>
      <c r="D175" s="354"/>
      <c r="E175" s="354"/>
      <c r="F175" s="354"/>
      <c r="G175" s="354"/>
      <c r="H175" s="354"/>
      <c r="I175" s="354"/>
      <c r="K175" s="657"/>
      <c r="L175" s="657"/>
      <c r="M175" s="657"/>
      <c r="N175" s="657"/>
      <c r="O175" s="657"/>
      <c r="BV175" s="671" t="s">
        <v>564</v>
      </c>
      <c r="BW175" s="804"/>
      <c r="BX175" s="424">
        <f>BX174+250</f>
        <v>10980</v>
      </c>
      <c r="BY175" s="385"/>
      <c r="CH175" s="832">
        <v>0.45763888888888887</v>
      </c>
      <c r="CI175" s="833">
        <v>46071</v>
      </c>
      <c r="CJ175" s="834">
        <v>179</v>
      </c>
      <c r="CK175" s="834">
        <v>3670</v>
      </c>
      <c r="CL175" s="863">
        <f t="shared" si="69"/>
        <v>0</v>
      </c>
      <c r="CM175" s="410">
        <v>10499</v>
      </c>
      <c r="CN175" s="410" t="s">
        <v>168</v>
      </c>
      <c r="CO175" s="410" t="s">
        <v>729</v>
      </c>
      <c r="EW175" s="419" t="s">
        <v>287</v>
      </c>
      <c r="EX175" s="426">
        <v>0.55972222222222223</v>
      </c>
      <c r="EY175" s="408">
        <v>45968</v>
      </c>
      <c r="EZ175" s="385">
        <v>41</v>
      </c>
      <c r="FA175" s="385">
        <v>220</v>
      </c>
      <c r="FB175" s="385">
        <f t="shared" si="67"/>
        <v>10</v>
      </c>
      <c r="FC175" s="385">
        <v>11039</v>
      </c>
      <c r="FD175" s="385" t="s">
        <v>631</v>
      </c>
      <c r="FE175" s="385" t="s">
        <v>730</v>
      </c>
    </row>
    <row r="176" spans="2:162" x14ac:dyDescent="0.25">
      <c r="B176" s="354"/>
      <c r="C176" s="354"/>
      <c r="D176" s="354"/>
      <c r="E176" s="354"/>
      <c r="F176" s="354"/>
      <c r="G176" s="354"/>
      <c r="H176" s="354"/>
      <c r="I176" s="354"/>
      <c r="K176" s="657"/>
      <c r="L176" s="657"/>
      <c r="M176" s="657"/>
      <c r="N176" s="657"/>
      <c r="O176" s="657"/>
      <c r="CH176" s="700">
        <v>0.41597222222222224</v>
      </c>
      <c r="CI176" s="701">
        <v>46069</v>
      </c>
      <c r="CJ176" s="539">
        <v>159</v>
      </c>
      <c r="CK176" s="539">
        <v>3670</v>
      </c>
      <c r="CL176" s="527">
        <f t="shared" si="69"/>
        <v>0</v>
      </c>
      <c r="CM176" s="385">
        <v>10476</v>
      </c>
      <c r="CN176" s="385" t="s">
        <v>168</v>
      </c>
      <c r="CO176" s="385" t="s">
        <v>729</v>
      </c>
      <c r="EW176" s="419" t="s">
        <v>287</v>
      </c>
      <c r="EX176" s="426">
        <v>0.57847222222222228</v>
      </c>
      <c r="EY176" s="408">
        <v>45975</v>
      </c>
      <c r="EZ176" s="385">
        <v>25</v>
      </c>
      <c r="FA176" s="385">
        <v>228</v>
      </c>
      <c r="FB176" s="385">
        <f t="shared" si="67"/>
        <v>8</v>
      </c>
      <c r="FC176" s="385">
        <v>11184</v>
      </c>
      <c r="FD176" s="385" t="s">
        <v>631</v>
      </c>
      <c r="FE176" s="385" t="s">
        <v>730</v>
      </c>
    </row>
    <row r="177" spans="2:162" x14ac:dyDescent="0.25">
      <c r="B177" s="354"/>
      <c r="C177" s="354"/>
      <c r="D177" s="354"/>
      <c r="E177" s="354"/>
      <c r="F177" s="354"/>
      <c r="G177" s="354"/>
      <c r="H177" s="354"/>
      <c r="I177" s="354"/>
      <c r="K177" s="657"/>
      <c r="L177" s="657"/>
      <c r="M177" s="657"/>
      <c r="N177" s="657"/>
      <c r="O177" s="657"/>
      <c r="CH177" s="700">
        <v>0.41597222222222224</v>
      </c>
      <c r="CI177" s="701">
        <v>46073</v>
      </c>
      <c r="CJ177" s="539">
        <v>168</v>
      </c>
      <c r="CK177" s="539">
        <v>3707</v>
      </c>
      <c r="CL177" s="527">
        <f t="shared" si="69"/>
        <v>37</v>
      </c>
      <c r="CM177" s="385">
        <v>9732</v>
      </c>
      <c r="CN177" s="385" t="s">
        <v>168</v>
      </c>
      <c r="CO177" s="385" t="s">
        <v>729</v>
      </c>
      <c r="EW177" s="419" t="s">
        <v>287</v>
      </c>
      <c r="EX177" s="426">
        <v>0.55625000000000002</v>
      </c>
      <c r="EY177" s="408">
        <v>45992</v>
      </c>
      <c r="EZ177" s="385">
        <v>96</v>
      </c>
      <c r="FA177" s="385">
        <v>238</v>
      </c>
      <c r="FB177" s="385">
        <f t="shared" si="67"/>
        <v>10</v>
      </c>
      <c r="FC177" s="385">
        <v>11264</v>
      </c>
      <c r="FD177" s="385" t="s">
        <v>631</v>
      </c>
      <c r="FE177" s="385" t="s">
        <v>144</v>
      </c>
    </row>
    <row r="178" spans="2:162" x14ac:dyDescent="0.25">
      <c r="B178" s="354"/>
      <c r="C178" s="354"/>
      <c r="D178" s="354"/>
      <c r="E178" s="354"/>
      <c r="F178" s="354"/>
      <c r="G178" s="354"/>
      <c r="H178" s="354"/>
      <c r="I178" s="354"/>
      <c r="K178" s="657"/>
      <c r="L178" s="657"/>
      <c r="M178" s="657"/>
      <c r="N178" s="657"/>
      <c r="O178" s="657"/>
      <c r="CG178" s="442" t="s">
        <v>697</v>
      </c>
      <c r="CH178" s="724">
        <v>0.49791666666666667</v>
      </c>
      <c r="CI178" s="725">
        <v>46078</v>
      </c>
      <c r="CJ178" s="540">
        <v>131</v>
      </c>
      <c r="CK178" s="515">
        <v>3707</v>
      </c>
      <c r="CL178" s="864">
        <f t="shared" si="69"/>
        <v>0</v>
      </c>
      <c r="CM178" s="469">
        <v>9746</v>
      </c>
      <c r="CN178" s="469" t="s">
        <v>168</v>
      </c>
      <c r="CO178" s="469" t="s">
        <v>729</v>
      </c>
      <c r="EX178" s="426">
        <v>0.72013888888888888</v>
      </c>
      <c r="EY178" s="408">
        <v>45995</v>
      </c>
      <c r="EZ178" s="385">
        <v>78</v>
      </c>
      <c r="FA178" s="385">
        <v>259</v>
      </c>
      <c r="FB178" s="385">
        <f>FA178-FA176</f>
        <v>31</v>
      </c>
      <c r="FC178" s="385">
        <v>11289</v>
      </c>
      <c r="FD178" s="385" t="s">
        <v>406</v>
      </c>
      <c r="FE178" s="385" t="s">
        <v>144</v>
      </c>
    </row>
    <row r="179" spans="2:162" x14ac:dyDescent="0.25">
      <c r="B179" s="354"/>
      <c r="C179" s="354"/>
      <c r="D179" s="354"/>
      <c r="E179" s="354"/>
      <c r="F179" s="354"/>
      <c r="G179" s="354"/>
      <c r="H179" s="354"/>
      <c r="I179" s="354"/>
      <c r="K179" s="657"/>
      <c r="L179" s="657"/>
      <c r="M179" s="657"/>
      <c r="N179" s="657"/>
      <c r="O179" s="657"/>
      <c r="EW179" s="419" t="s">
        <v>287</v>
      </c>
      <c r="EX179" s="426">
        <v>0.70763888888888893</v>
      </c>
      <c r="EY179" s="408">
        <v>46008</v>
      </c>
      <c r="EZ179" s="385">
        <v>62</v>
      </c>
      <c r="FA179" s="865">
        <v>259</v>
      </c>
      <c r="FB179" s="385">
        <f t="shared" ref="FB179:FB185" si="70">FA179-FA178</f>
        <v>0</v>
      </c>
      <c r="FC179" s="385">
        <v>11118</v>
      </c>
      <c r="FD179" s="385" t="s">
        <v>631</v>
      </c>
      <c r="FE179" s="385" t="s">
        <v>144</v>
      </c>
    </row>
    <row r="180" spans="2:162" x14ac:dyDescent="0.25">
      <c r="B180" s="354"/>
      <c r="C180" s="354"/>
      <c r="D180" s="354"/>
      <c r="E180" s="354"/>
      <c r="F180" s="354"/>
      <c r="G180" s="354"/>
      <c r="H180" s="354"/>
      <c r="I180" s="354"/>
      <c r="K180" s="657"/>
      <c r="L180" s="657"/>
      <c r="M180" s="657"/>
      <c r="N180" s="657"/>
      <c r="O180" s="657"/>
      <c r="EW180" s="419" t="s">
        <v>287</v>
      </c>
      <c r="EX180" s="426">
        <v>0.74861111111111112</v>
      </c>
      <c r="EY180" s="408">
        <v>46017</v>
      </c>
      <c r="EZ180" s="385">
        <v>85</v>
      </c>
      <c r="FA180" s="865">
        <v>259</v>
      </c>
      <c r="FB180" s="385">
        <f t="shared" si="70"/>
        <v>0</v>
      </c>
      <c r="FC180" s="385">
        <v>9958</v>
      </c>
      <c r="FD180" s="385" t="s">
        <v>631</v>
      </c>
      <c r="FE180" s="385" t="s">
        <v>144</v>
      </c>
    </row>
    <row r="181" spans="2:162" x14ac:dyDescent="0.25">
      <c r="B181" s="354"/>
      <c r="C181" s="354"/>
      <c r="D181" s="354"/>
      <c r="E181" s="354"/>
      <c r="F181" s="354"/>
      <c r="G181" s="354"/>
      <c r="H181" s="354"/>
      <c r="I181" s="354"/>
      <c r="K181" s="657"/>
      <c r="L181" s="657"/>
      <c r="M181" s="657"/>
      <c r="N181" s="657"/>
      <c r="O181" s="657"/>
      <c r="EW181" s="419" t="s">
        <v>287</v>
      </c>
      <c r="EX181" s="426">
        <v>0.48958333333333331</v>
      </c>
      <c r="EY181" s="408">
        <v>46044</v>
      </c>
      <c r="EZ181" s="385">
        <v>81</v>
      </c>
      <c r="FA181" s="539">
        <v>323</v>
      </c>
      <c r="FB181" s="385">
        <f t="shared" si="70"/>
        <v>64</v>
      </c>
      <c r="FC181" s="385">
        <v>10645</v>
      </c>
      <c r="FD181" s="385" t="s">
        <v>168</v>
      </c>
      <c r="FE181" s="385" t="s">
        <v>731</v>
      </c>
    </row>
    <row r="182" spans="2:162" x14ac:dyDescent="0.25">
      <c r="B182" s="354"/>
      <c r="C182" s="354"/>
      <c r="D182" s="354"/>
      <c r="E182" s="354"/>
      <c r="F182" s="354"/>
      <c r="G182" s="354"/>
      <c r="H182" s="354"/>
      <c r="I182" s="354"/>
      <c r="K182" s="657"/>
      <c r="L182" s="657"/>
      <c r="M182" s="657"/>
      <c r="N182" s="657"/>
      <c r="O182" s="657"/>
      <c r="EW182" s="419" t="s">
        <v>287</v>
      </c>
      <c r="EX182" s="426">
        <v>0.85486111111111107</v>
      </c>
      <c r="EY182" s="408">
        <v>46050</v>
      </c>
      <c r="EZ182" s="385">
        <v>71</v>
      </c>
      <c r="FA182" s="539">
        <v>337</v>
      </c>
      <c r="FB182" s="385">
        <f t="shared" si="70"/>
        <v>14</v>
      </c>
      <c r="FC182" s="385">
        <v>10679</v>
      </c>
      <c r="FD182" s="385" t="s">
        <v>168</v>
      </c>
      <c r="FE182" s="385" t="s">
        <v>586</v>
      </c>
    </row>
    <row r="183" spans="2:162" x14ac:dyDescent="0.25">
      <c r="B183" s="354"/>
      <c r="C183" s="354"/>
      <c r="D183" s="354"/>
      <c r="E183" s="354"/>
      <c r="F183" s="354"/>
      <c r="G183" s="354"/>
      <c r="H183" s="354"/>
      <c r="I183" s="354"/>
      <c r="K183" s="657"/>
      <c r="L183" s="657"/>
      <c r="M183" s="657"/>
      <c r="N183" s="657"/>
      <c r="O183" s="657"/>
      <c r="EW183" s="419" t="s">
        <v>287</v>
      </c>
      <c r="EX183" s="426">
        <v>0.4513888888888889</v>
      </c>
      <c r="EY183" s="408">
        <v>46053</v>
      </c>
      <c r="EZ183" s="385">
        <v>68</v>
      </c>
      <c r="FA183" s="471">
        <v>337</v>
      </c>
      <c r="FB183" s="385">
        <f t="shared" si="70"/>
        <v>0</v>
      </c>
      <c r="FC183" s="385">
        <v>10402</v>
      </c>
      <c r="FD183" s="385" t="s">
        <v>631</v>
      </c>
      <c r="FE183" s="385" t="s">
        <v>586</v>
      </c>
    </row>
    <row r="184" spans="2:162" x14ac:dyDescent="0.25">
      <c r="B184" s="354"/>
      <c r="C184" s="354"/>
      <c r="D184" s="354"/>
      <c r="E184" s="354"/>
      <c r="F184" s="354"/>
      <c r="G184" s="354"/>
      <c r="H184" s="354"/>
      <c r="I184" s="354"/>
      <c r="K184" s="657"/>
      <c r="L184" s="657"/>
      <c r="M184" s="657"/>
      <c r="N184" s="657"/>
      <c r="O184" s="657"/>
      <c r="CG184" s="866" t="s">
        <v>732</v>
      </c>
      <c r="CH184" s="867"/>
      <c r="CI184" s="453">
        <f>CI185+250</f>
        <v>3750</v>
      </c>
      <c r="EX184" s="426">
        <v>0.61111111111111116</v>
      </c>
      <c r="EY184" s="408">
        <v>46056</v>
      </c>
      <c r="EZ184" s="385">
        <v>66</v>
      </c>
      <c r="FA184" s="471">
        <v>337</v>
      </c>
      <c r="FB184" s="385">
        <f t="shared" si="70"/>
        <v>0</v>
      </c>
      <c r="FC184" s="385">
        <v>10409</v>
      </c>
      <c r="FD184" s="385" t="s">
        <v>631</v>
      </c>
      <c r="FE184" s="385" t="s">
        <v>586</v>
      </c>
    </row>
    <row r="185" spans="2:162" x14ac:dyDescent="0.25">
      <c r="B185" s="354"/>
      <c r="C185" s="354"/>
      <c r="D185" s="354"/>
      <c r="E185" s="354"/>
      <c r="F185" s="354"/>
      <c r="G185" s="354"/>
      <c r="H185" s="354"/>
      <c r="I185" s="354"/>
      <c r="K185" s="657"/>
      <c r="L185" s="657"/>
      <c r="M185" s="657"/>
      <c r="N185" s="657"/>
      <c r="O185" s="657"/>
      <c r="CG185" s="597" t="s">
        <v>438</v>
      </c>
      <c r="CH185" s="712"/>
      <c r="CI185" s="598">
        <v>3500</v>
      </c>
      <c r="CJ185" s="566">
        <v>46017</v>
      </c>
      <c r="EW185" s="419" t="s">
        <v>287</v>
      </c>
      <c r="EX185" s="426">
        <v>0.51458333333333328</v>
      </c>
      <c r="EY185" s="408">
        <v>46060</v>
      </c>
      <c r="EZ185" s="385">
        <v>58</v>
      </c>
      <c r="FA185" s="539">
        <v>372</v>
      </c>
      <c r="FB185" s="385">
        <f t="shared" si="70"/>
        <v>35</v>
      </c>
      <c r="FC185" s="385">
        <v>10524</v>
      </c>
      <c r="FD185" s="385" t="s">
        <v>168</v>
      </c>
      <c r="FE185" s="385" t="s">
        <v>586</v>
      </c>
    </row>
    <row r="186" spans="2:162" x14ac:dyDescent="0.25">
      <c r="B186" s="354"/>
      <c r="C186" s="354"/>
      <c r="D186" s="354"/>
      <c r="E186" s="354"/>
      <c r="F186" s="354"/>
      <c r="G186" s="354"/>
      <c r="H186" s="354"/>
      <c r="I186" s="354"/>
      <c r="K186" s="657"/>
      <c r="L186" s="657"/>
      <c r="M186" s="657"/>
      <c r="N186" s="657"/>
      <c r="O186" s="657"/>
      <c r="CG186" s="671" t="s">
        <v>564</v>
      </c>
      <c r="CH186" s="823"/>
      <c r="CI186" s="598">
        <v>3250</v>
      </c>
      <c r="CJ186" s="566">
        <v>45958</v>
      </c>
      <c r="EX186" s="678"/>
      <c r="EY186" s="679">
        <v>46063</v>
      </c>
      <c r="EZ186" s="385">
        <v>70</v>
      </c>
      <c r="FA186" s="868">
        <v>372</v>
      </c>
      <c r="FB186" s="681">
        <v>0</v>
      </c>
      <c r="FC186" s="682" t="s">
        <v>733</v>
      </c>
      <c r="FD186" s="682" t="s">
        <v>734</v>
      </c>
      <c r="FE186" s="682" t="s">
        <v>586</v>
      </c>
      <c r="FF186" s="683" t="s">
        <v>563</v>
      </c>
    </row>
    <row r="187" spans="2:162" x14ac:dyDescent="0.25">
      <c r="B187" s="354"/>
      <c r="C187" s="354"/>
      <c r="D187" s="354"/>
      <c r="E187" s="354"/>
      <c r="F187" s="354"/>
      <c r="G187" s="354"/>
      <c r="H187" s="354"/>
      <c r="I187" s="354"/>
      <c r="K187" s="657"/>
      <c r="L187" s="657"/>
      <c r="M187" s="657"/>
      <c r="N187" s="657"/>
      <c r="O187" s="657"/>
      <c r="CG187" s="671" t="s">
        <v>564</v>
      </c>
      <c r="CH187" s="823"/>
      <c r="CI187" s="598">
        <v>3000</v>
      </c>
      <c r="CJ187" s="566">
        <v>45899</v>
      </c>
      <c r="EX187" s="426"/>
      <c r="EY187" s="408">
        <v>46065</v>
      </c>
      <c r="EZ187" s="385">
        <v>16</v>
      </c>
      <c r="FA187" s="539">
        <v>389</v>
      </c>
      <c r="FB187" s="385">
        <f>FA187-FA185</f>
        <v>17</v>
      </c>
      <c r="FC187" s="385">
        <v>10452</v>
      </c>
      <c r="FD187" s="385" t="s">
        <v>734</v>
      </c>
      <c r="FE187" s="385" t="s">
        <v>586</v>
      </c>
    </row>
    <row r="188" spans="2:162" x14ac:dyDescent="0.25">
      <c r="B188" s="354"/>
      <c r="C188" s="354"/>
      <c r="D188" s="354"/>
      <c r="E188" s="354"/>
      <c r="F188" s="354"/>
      <c r="G188" s="354"/>
      <c r="H188" s="354"/>
      <c r="I188" s="354"/>
      <c r="K188" s="657"/>
      <c r="L188" s="657"/>
      <c r="M188" s="657"/>
      <c r="N188" s="657"/>
      <c r="O188" s="657"/>
      <c r="CG188" s="671" t="s">
        <v>564</v>
      </c>
      <c r="CH188" s="823"/>
      <c r="CI188" s="598">
        <v>2836</v>
      </c>
      <c r="CJ188" s="566">
        <v>45855</v>
      </c>
      <c r="EW188" s="419" t="s">
        <v>287</v>
      </c>
      <c r="EX188" s="426">
        <v>0.8305555555555556</v>
      </c>
      <c r="EY188" s="408">
        <v>46072</v>
      </c>
      <c r="EZ188" s="385">
        <v>41</v>
      </c>
      <c r="FA188" s="539">
        <v>410</v>
      </c>
      <c r="FB188" s="385">
        <f>FA188-FA187</f>
        <v>21</v>
      </c>
      <c r="FC188" s="385">
        <v>9719</v>
      </c>
      <c r="FD188" s="385"/>
      <c r="FE188" s="385" t="s">
        <v>586</v>
      </c>
    </row>
    <row r="189" spans="2:162" x14ac:dyDescent="0.25">
      <c r="B189" s="354"/>
      <c r="C189" s="354"/>
      <c r="D189" s="354"/>
      <c r="E189" s="354"/>
      <c r="F189" s="354"/>
      <c r="G189" s="354"/>
      <c r="H189" s="354"/>
      <c r="I189" s="354"/>
      <c r="K189" s="657"/>
      <c r="L189" s="657"/>
      <c r="M189" s="657"/>
      <c r="N189" s="657"/>
      <c r="O189" s="657"/>
      <c r="CG189" s="671" t="s">
        <v>564</v>
      </c>
      <c r="CH189" s="823"/>
      <c r="CI189" s="598">
        <v>2557</v>
      </c>
      <c r="CJ189" s="566">
        <v>45770</v>
      </c>
      <c r="EW189" s="419" t="s">
        <v>287</v>
      </c>
      <c r="EX189" s="426">
        <v>0.30972222222222223</v>
      </c>
      <c r="EY189" s="408">
        <v>46083</v>
      </c>
      <c r="EZ189" s="385">
        <v>90</v>
      </c>
      <c r="FA189" s="471">
        <v>410</v>
      </c>
      <c r="FB189" s="385">
        <f>FA189-FA188</f>
        <v>0</v>
      </c>
      <c r="FC189" s="385">
        <v>13347</v>
      </c>
      <c r="FD189" s="385" t="s">
        <v>631</v>
      </c>
      <c r="FE189" s="385" t="s">
        <v>586</v>
      </c>
    </row>
    <row r="190" spans="2:162" x14ac:dyDescent="0.25">
      <c r="B190" s="354"/>
      <c r="C190" s="354"/>
      <c r="D190" s="354"/>
      <c r="E190" s="354"/>
      <c r="F190" s="354"/>
      <c r="G190" s="354"/>
      <c r="H190" s="354"/>
      <c r="I190" s="354"/>
      <c r="K190" s="657"/>
      <c r="L190" s="657"/>
      <c r="M190" s="657"/>
      <c r="N190" s="657"/>
      <c r="O190" s="657"/>
      <c r="CG190" s="671" t="s">
        <v>564</v>
      </c>
      <c r="CH190" s="823"/>
      <c r="CI190" s="598">
        <v>2252</v>
      </c>
      <c r="CJ190" s="566">
        <v>45720</v>
      </c>
      <c r="EW190" s="419" t="s">
        <v>287</v>
      </c>
      <c r="EX190" s="426">
        <v>0.80208333333333337</v>
      </c>
      <c r="EY190" s="408">
        <v>46090</v>
      </c>
      <c r="EZ190" s="385">
        <v>48</v>
      </c>
      <c r="FA190" s="539">
        <v>451</v>
      </c>
      <c r="FB190" s="385">
        <f>FA190-FA189</f>
        <v>41</v>
      </c>
      <c r="FC190" s="385">
        <v>11344</v>
      </c>
      <c r="FD190" s="385" t="s">
        <v>631</v>
      </c>
      <c r="FE190" s="385" t="s">
        <v>586</v>
      </c>
    </row>
    <row r="191" spans="2:162" x14ac:dyDescent="0.25">
      <c r="B191" s="354"/>
      <c r="C191" s="354"/>
      <c r="D191" s="354"/>
      <c r="E191" s="354"/>
      <c r="F191" s="354"/>
      <c r="G191" s="354"/>
      <c r="H191" s="354"/>
      <c r="I191" s="354"/>
      <c r="K191" s="657"/>
      <c r="L191" s="657"/>
      <c r="M191" s="657"/>
      <c r="N191" s="657"/>
      <c r="O191" s="657"/>
      <c r="EX191" s="426">
        <v>0.47986111111111113</v>
      </c>
      <c r="EY191" s="408">
        <v>46094</v>
      </c>
      <c r="EZ191" s="385">
        <v>40</v>
      </c>
      <c r="FA191" s="539">
        <v>466</v>
      </c>
      <c r="FB191" s="385">
        <f>FA191-FA190</f>
        <v>15</v>
      </c>
      <c r="FC191" s="385">
        <v>11769</v>
      </c>
      <c r="FD191" s="385" t="s">
        <v>735</v>
      </c>
      <c r="FE191" s="385" t="s">
        <v>586</v>
      </c>
    </row>
    <row r="192" spans="2:162" x14ac:dyDescent="0.25">
      <c r="B192" s="354"/>
      <c r="C192" s="354"/>
      <c r="D192" s="354"/>
      <c r="E192" s="354"/>
      <c r="F192" s="354"/>
      <c r="G192" s="354"/>
      <c r="H192" s="354"/>
      <c r="I192" s="354"/>
      <c r="K192" s="657"/>
      <c r="L192" s="657"/>
      <c r="M192" s="657"/>
      <c r="N192" s="657"/>
      <c r="O192" s="657"/>
      <c r="EW192" s="419" t="s">
        <v>287</v>
      </c>
      <c r="EX192" s="491">
        <v>0.59722222222222221</v>
      </c>
      <c r="EY192" s="513">
        <v>46100</v>
      </c>
      <c r="EZ192" s="469">
        <v>63</v>
      </c>
      <c r="FA192" s="540">
        <v>486</v>
      </c>
      <c r="FB192" s="469">
        <f>FA192-FA191</f>
        <v>20</v>
      </c>
      <c r="FC192" s="469">
        <v>12769</v>
      </c>
      <c r="FD192" s="469" t="s">
        <v>735</v>
      </c>
      <c r="FE192" s="469" t="s">
        <v>586</v>
      </c>
    </row>
    <row r="193" spans="2:157" x14ac:dyDescent="0.25">
      <c r="B193" s="354"/>
      <c r="C193" s="354"/>
      <c r="D193" s="354"/>
      <c r="E193" s="354"/>
      <c r="F193" s="354"/>
      <c r="G193" s="354"/>
      <c r="H193" s="354"/>
      <c r="I193" s="354"/>
      <c r="K193" s="657"/>
      <c r="L193" s="657"/>
      <c r="M193" s="657"/>
      <c r="N193" s="657"/>
      <c r="O193" s="657"/>
    </row>
    <row r="194" spans="2:157" x14ac:dyDescent="0.25">
      <c r="B194" s="354"/>
      <c r="C194" s="354"/>
      <c r="D194" s="354"/>
      <c r="E194" s="354"/>
      <c r="F194" s="354"/>
      <c r="G194" s="354"/>
      <c r="H194" s="354"/>
      <c r="I194" s="354"/>
      <c r="K194" s="657"/>
      <c r="L194" s="657"/>
      <c r="M194" s="657"/>
      <c r="N194" s="657"/>
      <c r="O194" s="657"/>
    </row>
    <row r="195" spans="2:157" x14ac:dyDescent="0.25">
      <c r="B195" s="354"/>
      <c r="C195" s="354"/>
      <c r="D195" s="354"/>
      <c r="E195" s="354"/>
      <c r="F195" s="354"/>
      <c r="G195" s="354"/>
      <c r="H195" s="354"/>
      <c r="I195" s="354"/>
      <c r="K195" s="657"/>
      <c r="L195" s="657"/>
      <c r="M195" s="657"/>
      <c r="N195" s="657"/>
      <c r="O195" s="657"/>
    </row>
    <row r="196" spans="2:157" x14ac:dyDescent="0.25">
      <c r="B196" s="354"/>
      <c r="C196" s="354"/>
      <c r="D196" s="354"/>
      <c r="E196" s="354"/>
      <c r="F196" s="354"/>
      <c r="G196" s="354"/>
      <c r="H196" s="354"/>
      <c r="I196" s="354"/>
      <c r="K196" s="657"/>
      <c r="L196" s="657"/>
      <c r="M196" s="657"/>
      <c r="N196" s="657"/>
      <c r="O196" s="657"/>
    </row>
    <row r="197" spans="2:157" x14ac:dyDescent="0.25">
      <c r="B197" s="354"/>
      <c r="C197" s="354"/>
      <c r="D197" s="354"/>
      <c r="E197" s="354"/>
      <c r="F197" s="354"/>
      <c r="G197" s="354"/>
      <c r="H197" s="354"/>
      <c r="I197" s="354"/>
      <c r="K197" s="657"/>
      <c r="L197" s="657"/>
      <c r="M197" s="657"/>
      <c r="N197" s="657"/>
      <c r="O197" s="657"/>
    </row>
    <row r="198" spans="2:157" x14ac:dyDescent="0.25">
      <c r="B198" s="354"/>
      <c r="C198" s="354"/>
      <c r="D198" s="354"/>
      <c r="E198" s="354"/>
      <c r="F198" s="354"/>
      <c r="G198" s="354"/>
      <c r="H198" s="354"/>
      <c r="I198" s="354"/>
      <c r="K198" s="657"/>
      <c r="L198" s="657"/>
      <c r="M198" s="657"/>
      <c r="N198" s="657"/>
      <c r="O198" s="657"/>
      <c r="EW198" s="829"/>
      <c r="EX198" s="829" t="s">
        <v>736</v>
      </c>
      <c r="EY198" s="829"/>
      <c r="EZ198" s="348">
        <v>250</v>
      </c>
      <c r="FA198" s="657" t="s">
        <v>737</v>
      </c>
    </row>
    <row r="199" spans="2:157" x14ac:dyDescent="0.25">
      <c r="B199" s="354"/>
      <c r="C199" s="354"/>
      <c r="D199" s="354"/>
      <c r="E199" s="354"/>
      <c r="F199" s="354"/>
      <c r="G199" s="354"/>
      <c r="H199" s="354"/>
      <c r="I199" s="354"/>
      <c r="K199" s="657"/>
      <c r="L199" s="657"/>
      <c r="M199" s="657"/>
      <c r="N199" s="657"/>
      <c r="O199" s="657"/>
      <c r="EW199" s="869"/>
      <c r="EX199" s="869" t="s">
        <v>738</v>
      </c>
      <c r="EY199" s="869"/>
      <c r="EZ199" s="348">
        <v>5890</v>
      </c>
      <c r="FA199" s="566">
        <v>45796</v>
      </c>
    </row>
    <row r="200" spans="2:157" x14ac:dyDescent="0.25">
      <c r="B200" s="354"/>
      <c r="C200" s="354"/>
      <c r="D200" s="354"/>
      <c r="E200" s="354"/>
      <c r="F200" s="354"/>
      <c r="G200" s="354"/>
      <c r="H200" s="354"/>
      <c r="I200" s="354"/>
      <c r="K200" s="657"/>
      <c r="L200" s="657"/>
      <c r="M200" s="657"/>
      <c r="N200" s="657"/>
      <c r="O200" s="657"/>
    </row>
    <row r="201" spans="2:157" x14ac:dyDescent="0.25">
      <c r="B201" s="354"/>
      <c r="C201" s="354"/>
      <c r="D201" s="354"/>
      <c r="E201" s="354"/>
      <c r="F201" s="354"/>
      <c r="G201" s="354"/>
      <c r="H201" s="354"/>
      <c r="I201" s="354"/>
      <c r="K201" s="657"/>
      <c r="L201" s="657"/>
      <c r="M201" s="657"/>
      <c r="N201" s="657"/>
      <c r="O201" s="657"/>
    </row>
    <row r="202" spans="2:157" x14ac:dyDescent="0.25">
      <c r="B202" s="354"/>
      <c r="C202" s="354"/>
      <c r="D202" s="354"/>
      <c r="E202" s="354"/>
      <c r="F202" s="354"/>
      <c r="G202" s="354"/>
      <c r="H202" s="354"/>
      <c r="I202" s="354"/>
      <c r="K202" s="657"/>
      <c r="L202" s="657"/>
      <c r="M202" s="657"/>
      <c r="N202" s="657"/>
      <c r="O202" s="657"/>
    </row>
    <row r="203" spans="2:157" x14ac:dyDescent="0.25">
      <c r="B203" s="354"/>
      <c r="C203" s="354"/>
      <c r="D203" s="354"/>
      <c r="E203" s="354"/>
      <c r="F203" s="354"/>
      <c r="G203" s="354"/>
      <c r="H203" s="354"/>
      <c r="I203" s="354"/>
      <c r="K203" s="657"/>
      <c r="L203" s="657"/>
      <c r="M203" s="657"/>
      <c r="N203" s="657"/>
      <c r="O203" s="657"/>
    </row>
    <row r="204" spans="2:157" x14ac:dyDescent="0.25">
      <c r="B204" s="354"/>
      <c r="C204" s="354"/>
      <c r="D204" s="354"/>
      <c r="E204" s="354"/>
      <c r="F204" s="354"/>
      <c r="G204" s="354"/>
      <c r="H204" s="354"/>
      <c r="I204" s="354"/>
      <c r="K204" s="657"/>
      <c r="L204" s="657"/>
      <c r="M204" s="657"/>
      <c r="N204" s="657"/>
      <c r="O204" s="657"/>
    </row>
    <row r="205" spans="2:157" x14ac:dyDescent="0.25">
      <c r="B205" s="354"/>
      <c r="C205" s="354"/>
      <c r="D205" s="354"/>
      <c r="E205" s="354"/>
      <c r="F205" s="354"/>
      <c r="G205" s="354"/>
      <c r="H205" s="354"/>
      <c r="I205" s="354"/>
      <c r="K205" s="657"/>
      <c r="L205" s="657"/>
      <c r="M205" s="657"/>
      <c r="N205" s="657"/>
      <c r="O205" s="657"/>
    </row>
    <row r="206" spans="2:157" x14ac:dyDescent="0.25">
      <c r="B206" s="354"/>
      <c r="C206" s="354"/>
      <c r="D206" s="354"/>
      <c r="E206" s="354"/>
      <c r="F206" s="354"/>
      <c r="G206" s="354"/>
      <c r="H206" s="354"/>
      <c r="I206" s="354"/>
      <c r="K206" s="657"/>
      <c r="L206" s="657"/>
      <c r="M206" s="657"/>
      <c r="N206" s="657"/>
      <c r="O206" s="657"/>
    </row>
    <row r="207" spans="2:157" x14ac:dyDescent="0.25">
      <c r="B207" s="354"/>
      <c r="C207" s="354"/>
      <c r="D207" s="354"/>
      <c r="E207" s="354"/>
      <c r="F207" s="354"/>
      <c r="G207" s="354"/>
      <c r="H207" s="354"/>
      <c r="I207" s="354"/>
      <c r="K207" s="355"/>
      <c r="L207" s="355"/>
      <c r="M207" s="355"/>
      <c r="N207" s="355"/>
      <c r="O207" s="355"/>
    </row>
    <row r="208" spans="2:157" x14ac:dyDescent="0.25">
      <c r="B208" s="354"/>
      <c r="C208" s="354"/>
      <c r="D208" s="354"/>
      <c r="E208" s="354"/>
      <c r="F208" s="354"/>
      <c r="G208" s="354"/>
      <c r="H208" s="354"/>
      <c r="I208" s="354"/>
      <c r="K208" s="355"/>
      <c r="L208" s="355"/>
      <c r="M208" s="355"/>
      <c r="N208" s="355"/>
      <c r="O208" s="355"/>
    </row>
    <row r="209" spans="2:15" x14ac:dyDescent="0.25">
      <c r="B209" s="354"/>
      <c r="C209" s="354"/>
      <c r="D209" s="354"/>
      <c r="E209" s="354"/>
      <c r="F209" s="354"/>
      <c r="G209" s="354"/>
      <c r="H209" s="354"/>
      <c r="I209" s="354"/>
      <c r="K209" s="657"/>
      <c r="L209" s="657"/>
      <c r="M209" s="657"/>
      <c r="N209" s="657"/>
      <c r="O209" s="657"/>
    </row>
    <row r="210" spans="2:15" x14ac:dyDescent="0.25">
      <c r="B210" s="354"/>
      <c r="C210" s="354"/>
      <c r="D210" s="354"/>
      <c r="E210" s="354"/>
      <c r="F210" s="354"/>
      <c r="G210" s="354"/>
      <c r="H210" s="354"/>
      <c r="I210" s="354"/>
      <c r="K210" s="657"/>
      <c r="L210" s="657"/>
      <c r="M210" s="657"/>
      <c r="N210" s="657"/>
      <c r="O210" s="657"/>
    </row>
    <row r="211" spans="2:15" x14ac:dyDescent="0.25">
      <c r="B211" s="354"/>
      <c r="C211" s="354"/>
      <c r="D211" s="354"/>
      <c r="E211" s="354"/>
      <c r="F211" s="354"/>
      <c r="G211" s="354"/>
      <c r="H211" s="354"/>
      <c r="I211" s="354"/>
      <c r="K211" s="657"/>
      <c r="L211" s="657"/>
      <c r="M211" s="657"/>
      <c r="N211" s="657"/>
      <c r="O211" s="657"/>
    </row>
    <row r="212" spans="2:15" x14ac:dyDescent="0.25">
      <c r="B212" s="354"/>
      <c r="C212" s="354"/>
      <c r="D212" s="354"/>
      <c r="E212" s="354"/>
      <c r="F212" s="354"/>
      <c r="G212" s="354"/>
      <c r="H212" s="354"/>
      <c r="I212" s="354"/>
      <c r="K212" s="657"/>
      <c r="L212" s="657"/>
      <c r="M212" s="657"/>
      <c r="N212" s="657"/>
      <c r="O212" s="657"/>
    </row>
    <row r="213" spans="2:15" x14ac:dyDescent="0.25">
      <c r="B213" s="354"/>
      <c r="C213" s="354"/>
      <c r="D213" s="354"/>
      <c r="E213" s="354"/>
      <c r="F213" s="354"/>
      <c r="G213" s="354"/>
      <c r="H213" s="354"/>
      <c r="I213" s="354"/>
      <c r="K213" s="657"/>
      <c r="L213" s="657"/>
      <c r="M213" s="657"/>
      <c r="N213" s="657"/>
      <c r="O213" s="657"/>
    </row>
    <row r="214" spans="2:15" x14ac:dyDescent="0.25">
      <c r="B214" s="354"/>
      <c r="C214" s="354"/>
      <c r="D214" s="354"/>
      <c r="E214" s="354"/>
      <c r="F214" s="354"/>
      <c r="G214" s="354"/>
      <c r="H214" s="354"/>
      <c r="I214" s="354"/>
      <c r="K214" s="657"/>
      <c r="L214" s="657"/>
      <c r="M214" s="657"/>
      <c r="N214" s="657"/>
      <c r="O214" s="657"/>
    </row>
    <row r="215" spans="2:15" x14ac:dyDescent="0.25">
      <c r="B215" s="354"/>
      <c r="C215" s="354"/>
      <c r="D215" s="354"/>
      <c r="E215" s="354"/>
      <c r="F215" s="354"/>
      <c r="G215" s="354"/>
      <c r="H215" s="354"/>
      <c r="I215" s="354"/>
      <c r="K215" s="657"/>
      <c r="L215" s="657"/>
      <c r="M215" s="657"/>
      <c r="N215" s="657"/>
      <c r="O215" s="657"/>
    </row>
    <row r="216" spans="2:15" x14ac:dyDescent="0.25">
      <c r="B216" s="354"/>
      <c r="C216" s="354"/>
      <c r="D216" s="354"/>
      <c r="E216" s="354"/>
      <c r="F216" s="354"/>
      <c r="G216" s="354"/>
      <c r="H216" s="354"/>
      <c r="I216" s="354"/>
      <c r="K216" s="657"/>
      <c r="L216" s="657"/>
      <c r="M216" s="657"/>
      <c r="N216" s="657"/>
      <c r="O216" s="657"/>
    </row>
    <row r="217" spans="2:15" x14ac:dyDescent="0.25">
      <c r="B217" s="354"/>
      <c r="C217" s="354"/>
      <c r="D217" s="354"/>
      <c r="E217" s="354"/>
      <c r="F217" s="354"/>
      <c r="G217" s="354"/>
      <c r="H217" s="354"/>
      <c r="I217" s="354"/>
      <c r="K217" s="657"/>
      <c r="L217" s="657"/>
      <c r="M217" s="657"/>
      <c r="N217" s="657"/>
      <c r="O217" s="657"/>
    </row>
    <row r="218" spans="2:15" x14ac:dyDescent="0.25">
      <c r="B218" s="354"/>
      <c r="C218" s="354"/>
      <c r="D218" s="354"/>
      <c r="E218" s="354"/>
      <c r="F218" s="354"/>
      <c r="G218" s="354"/>
      <c r="H218" s="354"/>
      <c r="I218" s="354"/>
      <c r="K218" s="355"/>
      <c r="L218" s="355"/>
      <c r="M218" s="355"/>
      <c r="N218" s="355"/>
      <c r="O218" s="355"/>
    </row>
    <row r="219" spans="2:15" x14ac:dyDescent="0.25">
      <c r="B219" s="354"/>
      <c r="C219" s="354"/>
      <c r="D219" s="354"/>
      <c r="E219" s="354"/>
      <c r="F219" s="354"/>
      <c r="G219" s="354"/>
      <c r="H219" s="354"/>
      <c r="I219" s="354"/>
      <c r="K219" s="355"/>
      <c r="L219" s="355"/>
      <c r="M219" s="355"/>
      <c r="N219" s="355"/>
      <c r="O219" s="355"/>
    </row>
    <row r="220" spans="2:15" x14ac:dyDescent="0.25">
      <c r="B220" s="354"/>
      <c r="C220" s="354"/>
      <c r="D220" s="354"/>
      <c r="E220" s="354"/>
      <c r="F220" s="354"/>
      <c r="G220" s="354"/>
      <c r="H220" s="354"/>
      <c r="I220" s="354"/>
      <c r="K220" s="657"/>
      <c r="L220" s="657"/>
      <c r="M220" s="657"/>
      <c r="N220" s="657"/>
      <c r="O220" s="657"/>
    </row>
    <row r="221" spans="2:15" x14ac:dyDescent="0.25">
      <c r="B221" s="354"/>
      <c r="C221" s="354"/>
      <c r="D221" s="354"/>
      <c r="E221" s="354"/>
      <c r="F221" s="354"/>
      <c r="G221" s="354"/>
      <c r="H221" s="354"/>
      <c r="I221" s="354"/>
      <c r="K221" s="657"/>
      <c r="L221" s="657"/>
      <c r="M221" s="657"/>
      <c r="N221" s="657"/>
      <c r="O221" s="657"/>
    </row>
    <row r="222" spans="2:15" x14ac:dyDescent="0.25">
      <c r="B222" s="354"/>
      <c r="C222" s="354"/>
      <c r="D222" s="354"/>
      <c r="E222" s="354"/>
      <c r="F222" s="354"/>
      <c r="G222" s="354"/>
      <c r="H222" s="354"/>
      <c r="I222" s="354"/>
      <c r="K222" s="657"/>
      <c r="L222" s="657"/>
      <c r="M222" s="657"/>
      <c r="N222" s="657"/>
      <c r="O222" s="657"/>
    </row>
    <row r="223" spans="2:15" x14ac:dyDescent="0.25">
      <c r="B223" s="354"/>
      <c r="C223" s="354"/>
      <c r="D223" s="354"/>
      <c r="E223" s="354"/>
      <c r="F223" s="354"/>
      <c r="G223" s="354"/>
      <c r="H223" s="354"/>
      <c r="I223" s="354"/>
      <c r="K223" s="657"/>
      <c r="L223" s="657"/>
      <c r="M223" s="657"/>
      <c r="N223" s="657"/>
      <c r="O223" s="657"/>
    </row>
    <row r="224" spans="2:15" x14ac:dyDescent="0.25">
      <c r="B224" s="354"/>
      <c r="C224" s="354"/>
      <c r="D224" s="354"/>
      <c r="E224" s="354"/>
      <c r="F224" s="354"/>
      <c r="G224" s="354"/>
      <c r="H224" s="354"/>
      <c r="I224" s="354"/>
      <c r="K224" s="657"/>
      <c r="L224" s="657"/>
      <c r="M224" s="657"/>
      <c r="N224" s="657"/>
      <c r="O224" s="657"/>
    </row>
    <row r="225" spans="2:15" x14ac:dyDescent="0.25">
      <c r="B225" s="354"/>
      <c r="C225" s="354"/>
      <c r="D225" s="354"/>
      <c r="E225" s="354"/>
      <c r="F225" s="354"/>
      <c r="G225" s="354"/>
      <c r="H225" s="354"/>
      <c r="I225" s="354"/>
      <c r="K225" s="657"/>
      <c r="L225" s="657"/>
      <c r="M225" s="657"/>
      <c r="N225" s="657"/>
      <c r="O225" s="657"/>
    </row>
    <row r="226" spans="2:15" x14ac:dyDescent="0.25">
      <c r="B226" s="354"/>
      <c r="C226" s="354"/>
      <c r="D226" s="354"/>
      <c r="E226" s="354"/>
      <c r="F226" s="354"/>
      <c r="G226" s="354"/>
      <c r="H226" s="354"/>
      <c r="I226" s="354"/>
      <c r="K226" s="657"/>
      <c r="L226" s="657"/>
      <c r="M226" s="657"/>
      <c r="N226" s="657"/>
      <c r="O226" s="657"/>
    </row>
    <row r="227" spans="2:15" x14ac:dyDescent="0.25">
      <c r="B227" s="354"/>
      <c r="C227" s="354"/>
      <c r="D227" s="354"/>
      <c r="E227" s="354"/>
      <c r="F227" s="354"/>
      <c r="G227" s="354"/>
      <c r="H227" s="354"/>
      <c r="I227" s="354"/>
      <c r="K227" s="657"/>
      <c r="L227" s="657"/>
      <c r="M227" s="657"/>
      <c r="N227" s="657"/>
      <c r="O227" s="657"/>
    </row>
    <row r="228" spans="2:15" x14ac:dyDescent="0.25">
      <c r="B228" s="354"/>
      <c r="C228" s="354"/>
      <c r="D228" s="354"/>
      <c r="E228" s="354"/>
      <c r="F228" s="354"/>
      <c r="G228" s="354"/>
      <c r="H228" s="354"/>
      <c r="I228" s="354"/>
      <c r="K228" s="657"/>
      <c r="L228" s="657"/>
      <c r="M228" s="657"/>
      <c r="N228" s="657"/>
      <c r="O228" s="657"/>
    </row>
    <row r="229" spans="2:15" x14ac:dyDescent="0.25">
      <c r="B229" s="354"/>
      <c r="C229" s="354"/>
      <c r="D229" s="354"/>
      <c r="E229" s="354"/>
      <c r="F229" s="354"/>
      <c r="G229" s="354"/>
      <c r="H229" s="354"/>
      <c r="I229" s="354"/>
      <c r="K229" s="657"/>
      <c r="L229" s="657"/>
      <c r="M229" s="657"/>
      <c r="N229" s="657"/>
      <c r="O229" s="657"/>
    </row>
    <row r="230" spans="2:15" x14ac:dyDescent="0.25">
      <c r="B230" s="354"/>
      <c r="C230" s="354"/>
      <c r="D230" s="354"/>
      <c r="E230" s="354"/>
      <c r="F230" s="354"/>
      <c r="G230" s="354"/>
      <c r="H230" s="354"/>
      <c r="I230" s="354"/>
      <c r="K230" s="657"/>
      <c r="L230" s="657"/>
      <c r="M230" s="657"/>
      <c r="N230" s="657"/>
      <c r="O230" s="657"/>
    </row>
    <row r="231" spans="2:15" x14ac:dyDescent="0.25">
      <c r="B231" s="354"/>
      <c r="C231" s="354"/>
      <c r="D231" s="354"/>
      <c r="E231" s="354"/>
      <c r="F231" s="354"/>
      <c r="G231" s="354"/>
      <c r="H231" s="354"/>
      <c r="I231" s="354"/>
      <c r="K231" s="657"/>
      <c r="L231" s="657"/>
      <c r="M231" s="657"/>
      <c r="N231" s="657"/>
      <c r="O231" s="657"/>
    </row>
    <row r="232" spans="2:15" x14ac:dyDescent="0.25">
      <c r="B232" s="354"/>
      <c r="C232" s="354"/>
      <c r="D232" s="354"/>
      <c r="E232" s="354"/>
      <c r="F232" s="354"/>
      <c r="G232" s="354"/>
      <c r="H232" s="354"/>
      <c r="I232" s="354"/>
      <c r="K232" s="657"/>
      <c r="L232" s="657"/>
      <c r="M232" s="657"/>
      <c r="N232" s="657"/>
      <c r="O232" s="657"/>
    </row>
    <row r="233" spans="2:15" x14ac:dyDescent="0.25">
      <c r="B233" s="354"/>
      <c r="C233" s="354"/>
      <c r="D233" s="354"/>
      <c r="E233" s="354"/>
      <c r="F233" s="354"/>
      <c r="G233" s="354"/>
      <c r="H233" s="354"/>
      <c r="I233" s="354"/>
      <c r="K233" s="657"/>
      <c r="L233" s="657"/>
      <c r="M233" s="657"/>
      <c r="N233" s="657"/>
      <c r="O233" s="657"/>
    </row>
    <row r="234" spans="2:15" x14ac:dyDescent="0.25">
      <c r="B234" s="354"/>
      <c r="C234" s="354"/>
      <c r="D234" s="354"/>
      <c r="E234" s="354"/>
      <c r="F234" s="354"/>
      <c r="G234" s="354"/>
      <c r="H234" s="354"/>
      <c r="I234" s="354"/>
      <c r="K234" s="657"/>
      <c r="L234" s="657"/>
      <c r="M234" s="657"/>
      <c r="N234" s="657"/>
      <c r="O234" s="657"/>
    </row>
    <row r="235" spans="2:15" x14ac:dyDescent="0.25">
      <c r="B235" s="354"/>
      <c r="C235" s="354"/>
      <c r="D235" s="354"/>
      <c r="E235" s="354"/>
      <c r="F235" s="354"/>
      <c r="G235" s="354"/>
      <c r="H235" s="354"/>
      <c r="I235" s="354"/>
      <c r="K235" s="657"/>
      <c r="L235" s="657"/>
      <c r="M235" s="657"/>
      <c r="N235" s="657"/>
      <c r="O235" s="657"/>
    </row>
    <row r="236" spans="2:15" x14ac:dyDescent="0.25">
      <c r="B236" s="354"/>
      <c r="C236" s="354"/>
      <c r="D236" s="354"/>
      <c r="E236" s="354"/>
      <c r="F236" s="354"/>
      <c r="G236" s="354"/>
      <c r="H236" s="354"/>
      <c r="I236" s="354"/>
      <c r="K236" s="657"/>
      <c r="L236" s="657"/>
      <c r="M236" s="657"/>
      <c r="N236" s="657"/>
      <c r="O236" s="657"/>
    </row>
    <row r="237" spans="2:15" x14ac:dyDescent="0.25">
      <c r="B237" s="354"/>
      <c r="C237" s="354"/>
      <c r="D237" s="354"/>
      <c r="E237" s="354"/>
      <c r="F237" s="354"/>
      <c r="G237" s="354"/>
      <c r="H237" s="354"/>
      <c r="I237" s="354"/>
      <c r="K237" s="657"/>
      <c r="L237" s="657"/>
      <c r="M237" s="657"/>
      <c r="N237" s="657"/>
      <c r="O237" s="657"/>
    </row>
    <row r="238" spans="2:15" x14ac:dyDescent="0.25">
      <c r="B238" s="354"/>
      <c r="C238" s="354"/>
      <c r="D238" s="354"/>
      <c r="E238" s="354"/>
      <c r="F238" s="354"/>
      <c r="G238" s="354"/>
      <c r="H238" s="354"/>
      <c r="I238" s="354"/>
      <c r="K238" s="657"/>
      <c r="L238" s="657"/>
      <c r="M238" s="657"/>
      <c r="N238" s="657"/>
      <c r="O238" s="657"/>
    </row>
    <row r="239" spans="2:15" x14ac:dyDescent="0.25">
      <c r="B239" s="354"/>
      <c r="C239" s="354"/>
      <c r="D239" s="354"/>
      <c r="E239" s="354"/>
      <c r="F239" s="354"/>
      <c r="G239" s="354"/>
      <c r="H239" s="354"/>
      <c r="I239" s="354"/>
      <c r="K239" s="657"/>
      <c r="L239" s="657"/>
      <c r="M239" s="657"/>
      <c r="N239" s="657"/>
      <c r="O239" s="657"/>
    </row>
    <row r="240" spans="2:15" x14ac:dyDescent="0.25">
      <c r="B240" s="354"/>
      <c r="C240" s="354"/>
      <c r="D240" s="354"/>
      <c r="E240" s="354"/>
      <c r="F240" s="354"/>
      <c r="G240" s="354"/>
      <c r="H240" s="354"/>
      <c r="I240" s="354"/>
      <c r="K240" s="657"/>
      <c r="L240" s="657"/>
      <c r="M240" s="657"/>
      <c r="N240" s="657"/>
      <c r="O240" s="657"/>
    </row>
    <row r="241" spans="2:15" x14ac:dyDescent="0.25">
      <c r="B241" s="354"/>
      <c r="C241" s="354"/>
      <c r="D241" s="354"/>
      <c r="E241" s="354"/>
      <c r="F241" s="354"/>
      <c r="G241" s="354"/>
      <c r="H241" s="354"/>
      <c r="I241" s="354"/>
      <c r="K241" s="657"/>
      <c r="L241" s="657"/>
      <c r="M241" s="657"/>
      <c r="N241" s="657"/>
      <c r="O241" s="657"/>
    </row>
    <row r="242" spans="2:15" x14ac:dyDescent="0.25">
      <c r="B242" s="354"/>
      <c r="C242" s="354"/>
      <c r="D242" s="354"/>
      <c r="E242" s="354"/>
      <c r="F242" s="354"/>
      <c r="G242" s="354"/>
      <c r="H242" s="354"/>
      <c r="I242" s="354"/>
      <c r="K242" s="657"/>
      <c r="L242" s="657"/>
      <c r="M242" s="657"/>
      <c r="N242" s="657"/>
      <c r="O242" s="657"/>
    </row>
    <row r="243" spans="2:15" x14ac:dyDescent="0.25">
      <c r="B243" s="354"/>
      <c r="C243" s="354"/>
      <c r="D243" s="354"/>
      <c r="E243" s="354"/>
      <c r="F243" s="354"/>
      <c r="G243" s="354"/>
      <c r="H243" s="354"/>
      <c r="I243" s="354"/>
      <c r="K243" s="657"/>
      <c r="L243" s="657"/>
      <c r="M243" s="657"/>
      <c r="N243" s="657"/>
      <c r="O243" s="657"/>
    </row>
    <row r="244" spans="2:15" x14ac:dyDescent="0.25">
      <c r="B244" s="354"/>
      <c r="C244" s="354"/>
      <c r="D244" s="354"/>
      <c r="E244" s="354"/>
      <c r="F244" s="354"/>
      <c r="G244" s="354"/>
      <c r="H244" s="354"/>
      <c r="I244" s="354"/>
      <c r="K244" s="657"/>
      <c r="L244" s="657"/>
      <c r="M244" s="657"/>
      <c r="N244" s="657"/>
      <c r="O244" s="657"/>
    </row>
    <row r="245" spans="2:15" x14ac:dyDescent="0.25">
      <c r="B245" s="354"/>
      <c r="C245" s="354"/>
      <c r="D245" s="354"/>
      <c r="E245" s="354"/>
      <c r="F245" s="354"/>
      <c r="G245" s="354"/>
      <c r="H245" s="354"/>
      <c r="I245" s="354"/>
      <c r="K245" s="657"/>
      <c r="L245" s="657"/>
      <c r="M245" s="657"/>
      <c r="N245" s="657"/>
      <c r="O245" s="657"/>
    </row>
    <row r="246" spans="2:15" x14ac:dyDescent="0.25">
      <c r="B246" s="354"/>
      <c r="C246" s="354"/>
      <c r="D246" s="354"/>
      <c r="E246" s="354"/>
      <c r="F246" s="354"/>
      <c r="G246" s="354"/>
      <c r="H246" s="354"/>
      <c r="I246" s="354"/>
      <c r="K246" s="657"/>
      <c r="L246" s="657"/>
      <c r="M246" s="657"/>
      <c r="N246" s="657"/>
      <c r="O246" s="657"/>
    </row>
    <row r="247" spans="2:15" x14ac:dyDescent="0.25">
      <c r="B247" s="354"/>
      <c r="C247" s="354"/>
      <c r="D247" s="354"/>
      <c r="E247" s="354"/>
      <c r="F247" s="354"/>
      <c r="G247" s="354"/>
      <c r="H247" s="354"/>
      <c r="I247" s="354"/>
      <c r="K247" s="657"/>
      <c r="L247" s="657"/>
      <c r="M247" s="657"/>
      <c r="N247" s="657"/>
      <c r="O247" s="657"/>
    </row>
    <row r="248" spans="2:15" x14ac:dyDescent="0.25">
      <c r="B248" s="354"/>
      <c r="C248" s="354"/>
      <c r="D248" s="354"/>
      <c r="E248" s="354"/>
      <c r="F248" s="354"/>
      <c r="G248" s="354"/>
      <c r="H248" s="354"/>
      <c r="I248" s="354"/>
      <c r="K248" s="657"/>
      <c r="L248" s="657"/>
      <c r="M248" s="657"/>
      <c r="N248" s="657"/>
      <c r="O248" s="657"/>
    </row>
    <row r="249" spans="2:15" x14ac:dyDescent="0.25">
      <c r="B249" s="354"/>
      <c r="C249" s="354"/>
      <c r="D249" s="354"/>
      <c r="E249" s="354"/>
      <c r="F249" s="354"/>
      <c r="G249" s="354"/>
      <c r="H249" s="354"/>
      <c r="I249" s="354"/>
      <c r="K249" s="870"/>
      <c r="L249" s="870"/>
      <c r="M249" s="870"/>
      <c r="N249" s="870"/>
      <c r="O249" s="870"/>
    </row>
    <row r="250" spans="2:15" x14ac:dyDescent="0.25">
      <c r="B250" s="354"/>
      <c r="C250" s="354"/>
      <c r="D250" s="354"/>
      <c r="E250" s="354"/>
      <c r="F250" s="354"/>
      <c r="G250" s="354"/>
      <c r="H250" s="354"/>
      <c r="I250" s="354"/>
      <c r="K250" s="657"/>
      <c r="L250" s="657"/>
      <c r="M250" s="657"/>
      <c r="N250" s="657"/>
      <c r="O250" s="657"/>
    </row>
    <row r="251" spans="2:15" x14ac:dyDescent="0.25">
      <c r="B251" s="354"/>
      <c r="C251" s="354"/>
      <c r="D251" s="354"/>
      <c r="E251" s="354"/>
      <c r="F251" s="354"/>
      <c r="G251" s="354"/>
      <c r="H251" s="354"/>
      <c r="I251" s="354"/>
      <c r="K251" s="657"/>
      <c r="L251" s="657"/>
      <c r="M251" s="657"/>
      <c r="N251" s="657"/>
      <c r="O251" s="657"/>
    </row>
    <row r="252" spans="2:15" x14ac:dyDescent="0.25">
      <c r="B252" s="354"/>
      <c r="C252" s="354"/>
      <c r="D252" s="354"/>
      <c r="E252" s="354"/>
      <c r="F252" s="354"/>
      <c r="G252" s="354"/>
      <c r="H252" s="354"/>
      <c r="I252" s="354"/>
      <c r="K252" s="657"/>
      <c r="L252" s="657"/>
      <c r="M252" s="657"/>
      <c r="N252" s="657"/>
      <c r="O252" s="657"/>
    </row>
    <row r="253" spans="2:15" x14ac:dyDescent="0.25">
      <c r="B253" s="354"/>
      <c r="C253" s="354"/>
      <c r="D253" s="354"/>
      <c r="E253" s="354"/>
      <c r="F253" s="354"/>
      <c r="G253" s="354"/>
      <c r="H253" s="354"/>
      <c r="I253" s="354"/>
      <c r="K253" s="657"/>
      <c r="L253" s="657"/>
      <c r="M253" s="657"/>
      <c r="N253" s="657"/>
      <c r="O253" s="657"/>
    </row>
    <row r="254" spans="2:15" x14ac:dyDescent="0.25">
      <c r="B254" s="354"/>
      <c r="C254" s="354"/>
      <c r="D254" s="354"/>
      <c r="E254" s="354"/>
      <c r="F254" s="354"/>
      <c r="G254" s="354"/>
      <c r="H254" s="354"/>
      <c r="I254" s="354"/>
      <c r="K254" s="657"/>
      <c r="L254" s="657"/>
      <c r="M254" s="657"/>
      <c r="N254" s="657"/>
      <c r="O254" s="657"/>
    </row>
    <row r="255" spans="2:15" x14ac:dyDescent="0.25">
      <c r="B255" s="354"/>
      <c r="C255" s="354"/>
      <c r="D255" s="354"/>
      <c r="E255" s="354"/>
      <c r="F255" s="354"/>
      <c r="G255" s="354"/>
      <c r="H255" s="354"/>
      <c r="I255" s="354"/>
      <c r="K255" s="657"/>
      <c r="L255" s="657"/>
      <c r="M255" s="657"/>
      <c r="N255" s="657"/>
      <c r="O255" s="657"/>
    </row>
    <row r="256" spans="2:15" x14ac:dyDescent="0.25">
      <c r="B256" s="354"/>
      <c r="C256" s="354"/>
      <c r="D256" s="354"/>
      <c r="E256" s="354"/>
      <c r="F256" s="354"/>
      <c r="G256" s="354"/>
      <c r="H256" s="354"/>
      <c r="I256" s="354"/>
      <c r="K256" s="657"/>
      <c r="L256" s="657"/>
      <c r="M256" s="657"/>
      <c r="N256" s="657"/>
      <c r="O256" s="657"/>
    </row>
    <row r="257" spans="2:15" x14ac:dyDescent="0.25">
      <c r="B257" s="354"/>
      <c r="C257" s="354"/>
      <c r="D257" s="354"/>
      <c r="E257" s="354"/>
      <c r="F257" s="354"/>
      <c r="G257" s="354"/>
      <c r="H257" s="354"/>
      <c r="I257" s="354"/>
      <c r="K257" s="657"/>
      <c r="L257" s="657"/>
      <c r="M257" s="657"/>
      <c r="N257" s="657"/>
      <c r="O257" s="657"/>
    </row>
    <row r="258" spans="2:15" x14ac:dyDescent="0.25">
      <c r="B258" s="354"/>
      <c r="C258" s="354"/>
      <c r="D258" s="354"/>
      <c r="E258" s="354"/>
      <c r="F258" s="354"/>
      <c r="G258" s="354"/>
      <c r="H258" s="354"/>
      <c r="I258" s="354"/>
      <c r="K258" s="657"/>
      <c r="L258" s="657"/>
      <c r="M258" s="657"/>
      <c r="N258" s="657"/>
      <c r="O258" s="657"/>
    </row>
    <row r="259" spans="2:15" x14ac:dyDescent="0.25">
      <c r="B259" s="354"/>
      <c r="C259" s="354"/>
      <c r="D259" s="354"/>
      <c r="E259" s="354"/>
      <c r="F259" s="354"/>
      <c r="G259" s="354"/>
      <c r="H259" s="354"/>
      <c r="I259" s="354"/>
      <c r="K259" s="657"/>
      <c r="L259" s="657"/>
      <c r="M259" s="657"/>
      <c r="N259" s="657"/>
      <c r="O259" s="657"/>
    </row>
    <row r="260" spans="2:15" x14ac:dyDescent="0.25">
      <c r="B260" s="354"/>
      <c r="C260" s="354"/>
      <c r="D260" s="354"/>
      <c r="E260" s="354"/>
      <c r="F260" s="354"/>
      <c r="G260" s="354"/>
      <c r="H260" s="354"/>
      <c r="I260" s="354"/>
      <c r="K260" s="657"/>
      <c r="L260" s="657"/>
      <c r="M260" s="657"/>
      <c r="N260" s="657"/>
      <c r="O260" s="657"/>
    </row>
    <row r="261" spans="2:15" x14ac:dyDescent="0.25">
      <c r="B261" s="354"/>
      <c r="C261" s="354"/>
      <c r="D261" s="354"/>
      <c r="E261" s="354"/>
      <c r="F261" s="354"/>
      <c r="G261" s="354"/>
      <c r="H261" s="354"/>
      <c r="I261" s="354"/>
      <c r="K261" s="657"/>
      <c r="L261" s="657"/>
      <c r="M261" s="657"/>
      <c r="N261" s="657"/>
      <c r="O261" s="657"/>
    </row>
    <row r="262" spans="2:15" x14ac:dyDescent="0.25">
      <c r="B262" s="354"/>
      <c r="C262" s="354"/>
      <c r="D262" s="354"/>
      <c r="E262" s="354"/>
      <c r="F262" s="354"/>
      <c r="G262" s="354"/>
      <c r="H262" s="354"/>
      <c r="I262" s="354"/>
      <c r="K262" s="657"/>
      <c r="L262" s="657"/>
      <c r="M262" s="657"/>
      <c r="N262" s="657"/>
      <c r="O262" s="657"/>
    </row>
    <row r="263" spans="2:15" x14ac:dyDescent="0.25">
      <c r="B263" s="354"/>
      <c r="C263" s="354"/>
      <c r="D263" s="354"/>
      <c r="E263" s="354"/>
      <c r="F263" s="354"/>
      <c r="G263" s="354"/>
      <c r="H263" s="354"/>
      <c r="I263" s="354"/>
      <c r="K263" s="657"/>
      <c r="L263" s="657"/>
      <c r="M263" s="657"/>
      <c r="N263" s="657"/>
      <c r="O263" s="657"/>
    </row>
    <row r="264" spans="2:15" x14ac:dyDescent="0.25">
      <c r="B264" s="354"/>
      <c r="C264" s="354"/>
      <c r="D264" s="354"/>
      <c r="E264" s="354"/>
      <c r="F264" s="354"/>
      <c r="G264" s="354"/>
      <c r="H264" s="354"/>
      <c r="I264" s="354"/>
      <c r="K264" s="657"/>
      <c r="L264" s="657"/>
      <c r="M264" s="657"/>
      <c r="N264" s="657"/>
      <c r="O264" s="657"/>
    </row>
    <row r="265" spans="2:15" x14ac:dyDescent="0.25">
      <c r="B265" s="354"/>
      <c r="C265" s="354"/>
      <c r="D265" s="354"/>
      <c r="E265" s="354"/>
      <c r="F265" s="354"/>
      <c r="G265" s="354"/>
      <c r="H265" s="354"/>
      <c r="I265" s="354"/>
      <c r="K265" s="657"/>
      <c r="L265" s="657"/>
      <c r="M265" s="657"/>
      <c r="N265" s="657"/>
      <c r="O265" s="657"/>
    </row>
    <row r="266" spans="2:15" x14ac:dyDescent="0.25">
      <c r="B266" s="354"/>
      <c r="C266" s="354"/>
      <c r="D266" s="354"/>
      <c r="E266" s="354"/>
      <c r="F266" s="354"/>
      <c r="G266" s="354"/>
      <c r="H266" s="354"/>
      <c r="I266" s="354"/>
      <c r="K266" s="657"/>
      <c r="L266" s="657"/>
      <c r="M266" s="657"/>
      <c r="N266" s="657"/>
      <c r="O266" s="657"/>
    </row>
    <row r="267" spans="2:15" x14ac:dyDescent="0.25">
      <c r="B267" s="354"/>
      <c r="C267" s="354"/>
      <c r="D267" s="354"/>
      <c r="E267" s="354"/>
      <c r="F267" s="354"/>
      <c r="G267" s="354"/>
      <c r="H267" s="354"/>
      <c r="I267" s="354"/>
      <c r="K267" s="657"/>
      <c r="L267" s="657"/>
      <c r="M267" s="657"/>
      <c r="N267" s="657"/>
      <c r="O267" s="657"/>
    </row>
    <row r="268" spans="2:15" x14ac:dyDescent="0.25">
      <c r="B268" s="354"/>
      <c r="C268" s="354"/>
      <c r="D268" s="354"/>
      <c r="E268" s="354"/>
      <c r="F268" s="354"/>
      <c r="G268" s="354"/>
      <c r="H268" s="354"/>
      <c r="I268" s="354"/>
      <c r="K268" s="657"/>
      <c r="L268" s="657"/>
      <c r="M268" s="657"/>
      <c r="N268" s="657"/>
      <c r="O268" s="657"/>
    </row>
    <row r="269" spans="2:15" x14ac:dyDescent="0.25">
      <c r="B269" s="354"/>
      <c r="C269" s="354"/>
      <c r="D269" s="354"/>
      <c r="E269" s="354"/>
      <c r="F269" s="354"/>
      <c r="G269" s="354"/>
      <c r="H269" s="354"/>
      <c r="I269" s="354"/>
      <c r="K269" s="657"/>
      <c r="L269" s="657"/>
      <c r="M269" s="657"/>
      <c r="N269" s="657"/>
      <c r="O269" s="657"/>
    </row>
    <row r="270" spans="2:15" x14ac:dyDescent="0.25">
      <c r="B270" s="354"/>
      <c r="C270" s="354"/>
      <c r="D270" s="354"/>
      <c r="E270" s="354"/>
      <c r="F270" s="354"/>
      <c r="G270" s="354"/>
      <c r="H270" s="354"/>
      <c r="I270" s="354"/>
      <c r="K270" s="657"/>
      <c r="L270" s="657"/>
      <c r="M270" s="657"/>
      <c r="N270" s="657"/>
      <c r="O270" s="657"/>
    </row>
    <row r="271" spans="2:15" x14ac:dyDescent="0.25">
      <c r="B271" s="354"/>
      <c r="C271" s="354"/>
      <c r="D271" s="354"/>
      <c r="E271" s="354"/>
      <c r="F271" s="354"/>
      <c r="G271" s="354"/>
      <c r="H271" s="354"/>
      <c r="I271" s="354"/>
      <c r="K271" s="657"/>
      <c r="L271" s="657"/>
      <c r="M271" s="657"/>
      <c r="N271" s="657"/>
      <c r="O271" s="657"/>
    </row>
    <row r="272" spans="2:15" x14ac:dyDescent="0.25">
      <c r="B272" s="354"/>
      <c r="C272" s="354"/>
      <c r="D272" s="354"/>
      <c r="E272" s="354"/>
      <c r="F272" s="354"/>
      <c r="G272" s="354"/>
      <c r="H272" s="354"/>
      <c r="I272" s="354"/>
      <c r="K272" s="657"/>
      <c r="L272" s="657"/>
      <c r="M272" s="657"/>
      <c r="N272" s="657"/>
      <c r="O272" s="657"/>
    </row>
    <row r="273" spans="2:15" x14ac:dyDescent="0.25">
      <c r="B273" s="354"/>
      <c r="C273" s="354"/>
      <c r="D273" s="354"/>
      <c r="E273" s="354"/>
      <c r="F273" s="354"/>
      <c r="G273" s="354"/>
      <c r="H273" s="354"/>
      <c r="I273" s="354"/>
      <c r="K273" s="657"/>
      <c r="L273" s="657"/>
      <c r="M273" s="657"/>
      <c r="N273" s="657"/>
      <c r="O273" s="657"/>
    </row>
    <row r="274" spans="2:15" x14ac:dyDescent="0.25">
      <c r="B274" s="354"/>
      <c r="C274" s="354"/>
      <c r="D274" s="354"/>
      <c r="E274" s="354"/>
      <c r="F274" s="354"/>
      <c r="G274" s="354"/>
      <c r="H274" s="354"/>
      <c r="I274" s="354"/>
      <c r="K274" s="657"/>
      <c r="L274" s="657"/>
      <c r="M274" s="657"/>
      <c r="N274" s="657"/>
      <c r="O274" s="657"/>
    </row>
    <row r="275" spans="2:15" x14ac:dyDescent="0.25">
      <c r="B275" s="354"/>
      <c r="C275" s="354"/>
      <c r="D275" s="354"/>
      <c r="E275" s="354"/>
      <c r="F275" s="354"/>
      <c r="G275" s="354"/>
      <c r="H275" s="354"/>
      <c r="I275" s="354"/>
      <c r="K275" s="657"/>
      <c r="L275" s="657"/>
      <c r="M275" s="657"/>
      <c r="N275" s="657"/>
      <c r="O275" s="657"/>
    </row>
    <row r="276" spans="2:15" x14ac:dyDescent="0.25">
      <c r="B276" s="354"/>
      <c r="C276" s="354"/>
      <c r="D276" s="354"/>
      <c r="E276" s="354"/>
      <c r="F276" s="354"/>
      <c r="G276" s="354"/>
      <c r="H276" s="354"/>
      <c r="I276" s="354"/>
      <c r="K276" s="657"/>
      <c r="L276" s="657"/>
      <c r="M276" s="657"/>
      <c r="N276" s="657"/>
      <c r="O276" s="657"/>
    </row>
    <row r="277" spans="2:15" x14ac:dyDescent="0.25">
      <c r="B277" s="354"/>
      <c r="C277" s="354"/>
      <c r="D277" s="354"/>
      <c r="E277" s="354"/>
      <c r="F277" s="354"/>
      <c r="G277" s="354"/>
      <c r="H277" s="354"/>
      <c r="I277" s="354"/>
      <c r="K277" s="657"/>
      <c r="L277" s="657"/>
      <c r="M277" s="657"/>
      <c r="N277" s="657"/>
      <c r="O277" s="657"/>
    </row>
    <row r="278" spans="2:15" x14ac:dyDescent="0.25">
      <c r="B278" s="354"/>
      <c r="C278" s="354"/>
      <c r="D278" s="354"/>
      <c r="E278" s="354"/>
      <c r="F278" s="354"/>
      <c r="G278" s="354"/>
      <c r="H278" s="354"/>
      <c r="I278" s="354"/>
      <c r="K278" s="657"/>
      <c r="L278" s="657"/>
      <c r="M278" s="657"/>
      <c r="N278" s="657"/>
      <c r="O278" s="657"/>
    </row>
    <row r="279" spans="2:15" x14ac:dyDescent="0.25">
      <c r="B279" s="354"/>
      <c r="C279" s="354"/>
      <c r="D279" s="354"/>
      <c r="E279" s="354"/>
      <c r="F279" s="354"/>
      <c r="G279" s="354"/>
      <c r="H279" s="354"/>
      <c r="I279" s="354"/>
      <c r="K279" s="657"/>
      <c r="L279" s="657"/>
      <c r="M279" s="657"/>
      <c r="N279" s="657"/>
      <c r="O279" s="657"/>
    </row>
    <row r="280" spans="2:15" x14ac:dyDescent="0.25">
      <c r="B280" s="354"/>
      <c r="C280" s="354"/>
      <c r="D280" s="354"/>
      <c r="E280" s="354"/>
      <c r="F280" s="354"/>
      <c r="G280" s="354"/>
      <c r="H280" s="354"/>
      <c r="I280" s="354"/>
      <c r="K280" s="657"/>
      <c r="L280" s="657"/>
      <c r="M280" s="657"/>
      <c r="N280" s="657"/>
      <c r="O280" s="657"/>
    </row>
    <row r="281" spans="2:15" x14ac:dyDescent="0.25">
      <c r="B281" s="354"/>
      <c r="C281" s="354"/>
      <c r="D281" s="354"/>
      <c r="E281" s="354"/>
      <c r="F281" s="354"/>
      <c r="G281" s="354"/>
      <c r="H281" s="354"/>
      <c r="I281" s="354"/>
      <c r="K281" s="657"/>
      <c r="L281" s="657"/>
      <c r="M281" s="657"/>
      <c r="N281" s="657"/>
      <c r="O281" s="657"/>
    </row>
    <row r="282" spans="2:15" x14ac:dyDescent="0.25">
      <c r="B282" s="354"/>
      <c r="C282" s="354"/>
      <c r="D282" s="354"/>
      <c r="E282" s="354"/>
      <c r="F282" s="354"/>
      <c r="G282" s="354"/>
      <c r="H282" s="354"/>
      <c r="I282" s="354"/>
      <c r="K282" s="657"/>
      <c r="L282" s="657"/>
      <c r="M282" s="657"/>
      <c r="N282" s="657"/>
      <c r="O282" s="657"/>
    </row>
    <row r="283" spans="2:15" x14ac:dyDescent="0.25">
      <c r="B283" s="354"/>
      <c r="C283" s="354"/>
      <c r="D283" s="354"/>
      <c r="E283" s="354"/>
      <c r="F283" s="354"/>
      <c r="G283" s="354"/>
      <c r="H283" s="354"/>
      <c r="I283" s="354"/>
      <c r="K283" s="657"/>
      <c r="L283" s="657"/>
      <c r="M283" s="657"/>
      <c r="N283" s="657"/>
      <c r="O283" s="657"/>
    </row>
    <row r="284" spans="2:15" x14ac:dyDescent="0.25">
      <c r="B284" s="354"/>
      <c r="C284" s="354"/>
      <c r="D284" s="354"/>
      <c r="E284" s="354"/>
      <c r="F284" s="354"/>
      <c r="G284" s="354"/>
      <c r="H284" s="354"/>
      <c r="I284" s="354"/>
      <c r="K284" s="657"/>
      <c r="L284" s="657"/>
      <c r="M284" s="657"/>
      <c r="N284" s="657"/>
      <c r="O284" s="657"/>
    </row>
    <row r="285" spans="2:15" x14ac:dyDescent="0.25">
      <c r="B285" s="354"/>
      <c r="C285" s="354"/>
      <c r="D285" s="354"/>
      <c r="E285" s="354"/>
      <c r="F285" s="354"/>
      <c r="G285" s="354"/>
      <c r="H285" s="354"/>
      <c r="I285" s="354"/>
      <c r="K285" s="657"/>
      <c r="L285" s="657"/>
      <c r="M285" s="657"/>
      <c r="N285" s="657"/>
      <c r="O285" s="657"/>
    </row>
    <row r="286" spans="2:15" x14ac:dyDescent="0.25">
      <c r="B286" s="354"/>
      <c r="C286" s="354"/>
      <c r="D286" s="354"/>
      <c r="E286" s="354"/>
      <c r="F286" s="354"/>
      <c r="G286" s="354"/>
      <c r="H286" s="354"/>
      <c r="I286" s="354"/>
      <c r="K286" s="657"/>
      <c r="L286" s="657"/>
      <c r="M286" s="657"/>
      <c r="N286" s="657"/>
      <c r="O286" s="657"/>
    </row>
    <row r="287" spans="2:15" x14ac:dyDescent="0.25">
      <c r="B287" s="354"/>
      <c r="C287" s="354"/>
      <c r="D287" s="354"/>
      <c r="E287" s="354"/>
      <c r="F287" s="354"/>
      <c r="G287" s="354"/>
      <c r="H287" s="354"/>
      <c r="I287" s="354"/>
      <c r="K287" s="657"/>
      <c r="L287" s="657"/>
      <c r="M287" s="657"/>
      <c r="N287" s="657"/>
      <c r="O287" s="657"/>
    </row>
    <row r="288" spans="2:15" x14ac:dyDescent="0.25">
      <c r="B288" s="354"/>
      <c r="C288" s="354"/>
      <c r="D288" s="354"/>
      <c r="E288" s="354"/>
      <c r="F288" s="354"/>
      <c r="G288" s="354"/>
      <c r="H288" s="354"/>
      <c r="I288" s="354"/>
      <c r="K288" s="657"/>
      <c r="L288" s="657"/>
      <c r="M288" s="657"/>
      <c r="N288" s="657"/>
      <c r="O288" s="657"/>
    </row>
    <row r="289" spans="2:16" x14ac:dyDescent="0.25">
      <c r="B289" s="354"/>
      <c r="C289" s="354"/>
      <c r="D289" s="354"/>
      <c r="E289" s="354"/>
      <c r="F289" s="354"/>
      <c r="G289" s="354"/>
      <c r="H289" s="354"/>
      <c r="I289" s="354"/>
      <c r="K289" s="657"/>
      <c r="L289" s="657"/>
      <c r="M289" s="657"/>
      <c r="N289" s="657"/>
      <c r="O289" s="657"/>
    </row>
    <row r="290" spans="2:16" x14ac:dyDescent="0.25">
      <c r="B290" s="354"/>
      <c r="C290" s="354"/>
      <c r="D290" s="354"/>
      <c r="E290" s="354"/>
      <c r="F290" s="354"/>
      <c r="G290" s="354"/>
      <c r="H290" s="354"/>
      <c r="I290" s="354"/>
      <c r="K290" s="657"/>
      <c r="L290" s="657"/>
      <c r="M290" s="657"/>
      <c r="N290" s="657"/>
      <c r="O290" s="657"/>
    </row>
    <row r="291" spans="2:16" x14ac:dyDescent="0.25">
      <c r="B291" s="354"/>
      <c r="C291" s="354"/>
      <c r="D291" s="354"/>
      <c r="E291" s="354"/>
      <c r="F291" s="354"/>
      <c r="G291" s="354"/>
      <c r="H291" s="354"/>
      <c r="I291" s="354"/>
      <c r="K291" s="657"/>
      <c r="L291" s="657"/>
      <c r="M291" s="657"/>
      <c r="N291" s="657"/>
      <c r="O291" s="657"/>
    </row>
    <row r="292" spans="2:16" x14ac:dyDescent="0.25">
      <c r="B292" s="354"/>
      <c r="C292" s="354"/>
      <c r="D292" s="354"/>
      <c r="E292" s="354"/>
      <c r="F292" s="354"/>
      <c r="G292" s="354"/>
      <c r="H292" s="354"/>
      <c r="I292" s="354"/>
      <c r="K292" s="657"/>
      <c r="L292" s="657"/>
      <c r="M292" s="657"/>
      <c r="N292" s="657"/>
      <c r="O292" s="657"/>
    </row>
    <row r="293" spans="2:16" x14ac:dyDescent="0.25">
      <c r="B293" s="354"/>
      <c r="C293" s="354"/>
      <c r="D293" s="354"/>
      <c r="E293" s="354"/>
      <c r="F293" s="354"/>
      <c r="G293" s="354"/>
      <c r="H293" s="354"/>
      <c r="I293" s="354"/>
      <c r="K293" s="657"/>
      <c r="L293" s="657"/>
      <c r="M293" s="657"/>
      <c r="N293" s="657"/>
      <c r="O293" s="657"/>
      <c r="P293" s="348" t="s">
        <v>2</v>
      </c>
    </row>
    <row r="294" spans="2:16" x14ac:dyDescent="0.25">
      <c r="B294" s="354"/>
      <c r="C294" s="354"/>
      <c r="D294" s="354"/>
      <c r="E294" s="354"/>
      <c r="F294" s="354"/>
      <c r="G294" s="354"/>
      <c r="H294" s="354"/>
      <c r="I294" s="354"/>
      <c r="K294" s="657"/>
      <c r="L294" s="657"/>
      <c r="M294" s="657"/>
      <c r="N294" s="657"/>
      <c r="O294" s="657"/>
      <c r="P294" s="348" t="s">
        <v>2</v>
      </c>
    </row>
    <row r="295" spans="2:16" x14ac:dyDescent="0.25">
      <c r="B295" s="354"/>
      <c r="C295" s="354"/>
      <c r="D295" s="354"/>
      <c r="E295" s="354"/>
      <c r="F295" s="354"/>
      <c r="G295" s="354"/>
      <c r="H295" s="354"/>
      <c r="I295" s="354"/>
      <c r="K295" s="657"/>
      <c r="L295" s="657"/>
      <c r="M295" s="657"/>
      <c r="N295" s="657"/>
      <c r="O295" s="657"/>
    </row>
    <row r="296" spans="2:16" x14ac:dyDescent="0.25">
      <c r="B296" s="354"/>
      <c r="C296" s="354"/>
      <c r="D296" s="354"/>
      <c r="E296" s="354"/>
      <c r="F296" s="354"/>
      <c r="G296" s="354"/>
      <c r="H296" s="354"/>
      <c r="I296" s="354"/>
      <c r="K296" s="657"/>
      <c r="L296" s="657"/>
      <c r="M296" s="657"/>
      <c r="N296" s="657"/>
      <c r="O296" s="657"/>
    </row>
    <row r="297" spans="2:16" x14ac:dyDescent="0.25">
      <c r="B297" s="354"/>
      <c r="C297" s="354"/>
      <c r="D297" s="354"/>
      <c r="E297" s="354"/>
      <c r="F297" s="354"/>
      <c r="G297" s="354"/>
      <c r="H297" s="354"/>
      <c r="I297" s="354"/>
      <c r="K297" s="657"/>
      <c r="L297" s="657"/>
      <c r="M297" s="657"/>
      <c r="N297" s="657"/>
      <c r="O297" s="657"/>
    </row>
    <row r="298" spans="2:16" x14ac:dyDescent="0.25">
      <c r="B298" s="354"/>
      <c r="C298" s="354"/>
      <c r="D298" s="354"/>
      <c r="E298" s="354"/>
      <c r="F298" s="354"/>
      <c r="G298" s="354"/>
      <c r="H298" s="354"/>
      <c r="I298" s="354"/>
      <c r="K298" s="657"/>
      <c r="L298" s="657"/>
      <c r="M298" s="657"/>
      <c r="N298" s="657"/>
      <c r="O298" s="657"/>
    </row>
    <row r="299" spans="2:16" x14ac:dyDescent="0.25">
      <c r="B299" s="354"/>
      <c r="C299" s="354"/>
      <c r="D299" s="354"/>
      <c r="E299" s="354"/>
      <c r="F299" s="354"/>
      <c r="G299" s="354"/>
      <c r="H299" s="354"/>
      <c r="I299" s="354"/>
      <c r="K299" s="657"/>
      <c r="L299" s="657"/>
      <c r="M299" s="657"/>
      <c r="N299" s="657"/>
      <c r="O299" s="657"/>
    </row>
    <row r="300" spans="2:16" x14ac:dyDescent="0.25">
      <c r="B300" s="354"/>
      <c r="C300" s="354"/>
      <c r="D300" s="354"/>
      <c r="E300" s="354"/>
      <c r="F300" s="354"/>
      <c r="G300" s="354"/>
      <c r="H300" s="354"/>
      <c r="I300" s="354"/>
      <c r="K300" s="657"/>
      <c r="L300" s="657"/>
      <c r="M300" s="657"/>
      <c r="N300" s="657"/>
      <c r="O300" s="657"/>
    </row>
    <row r="301" spans="2:16" x14ac:dyDescent="0.25">
      <c r="B301" s="354"/>
      <c r="C301" s="354"/>
      <c r="D301" s="354"/>
      <c r="E301" s="354"/>
      <c r="F301" s="354"/>
      <c r="G301" s="354"/>
      <c r="H301" s="354"/>
      <c r="I301" s="354"/>
      <c r="K301" s="657"/>
      <c r="L301" s="657"/>
      <c r="M301" s="657"/>
      <c r="N301" s="657"/>
      <c r="O301" s="657"/>
    </row>
    <row r="302" spans="2:16" x14ac:dyDescent="0.25">
      <c r="B302" s="354"/>
      <c r="C302" s="354"/>
      <c r="D302" s="354"/>
      <c r="E302" s="354"/>
      <c r="F302" s="354"/>
      <c r="G302" s="354"/>
      <c r="H302" s="354"/>
      <c r="I302" s="354"/>
      <c r="K302" s="657"/>
      <c r="L302" s="657"/>
      <c r="M302" s="657"/>
      <c r="N302" s="657"/>
      <c r="O302" s="657"/>
    </row>
    <row r="303" spans="2:16" x14ac:dyDescent="0.25">
      <c r="B303" s="354"/>
      <c r="C303" s="354"/>
      <c r="D303" s="354"/>
      <c r="E303" s="354"/>
      <c r="F303" s="354"/>
      <c r="G303" s="354"/>
      <c r="H303" s="354"/>
      <c r="I303" s="354"/>
      <c r="K303" s="657"/>
      <c r="L303" s="657"/>
      <c r="M303" s="657"/>
      <c r="N303" s="657"/>
      <c r="O303" s="657"/>
    </row>
    <row r="304" spans="2:16" x14ac:dyDescent="0.25">
      <c r="B304" s="354"/>
      <c r="C304" s="354"/>
      <c r="D304" s="354"/>
      <c r="E304" s="354"/>
      <c r="F304" s="354"/>
      <c r="G304" s="354"/>
      <c r="H304" s="354"/>
      <c r="I304" s="354"/>
      <c r="K304" s="657"/>
      <c r="L304" s="657"/>
      <c r="M304" s="657"/>
      <c r="N304" s="657"/>
      <c r="O304" s="657"/>
    </row>
    <row r="305" spans="2:16" x14ac:dyDescent="0.25">
      <c r="B305" s="354"/>
      <c r="C305" s="354"/>
      <c r="D305" s="354"/>
      <c r="E305" s="354"/>
      <c r="F305" s="354"/>
      <c r="G305" s="354"/>
      <c r="H305" s="354"/>
      <c r="I305" s="354"/>
      <c r="K305" s="657"/>
      <c r="L305" s="657"/>
      <c r="M305" s="657"/>
      <c r="N305" s="657"/>
      <c r="O305" s="657"/>
    </row>
    <row r="306" spans="2:16" x14ac:dyDescent="0.25">
      <c r="B306" s="354"/>
      <c r="C306" s="354"/>
      <c r="D306" s="354"/>
      <c r="E306" s="354"/>
      <c r="F306" s="354"/>
      <c r="G306" s="354"/>
      <c r="H306" s="354"/>
      <c r="I306" s="354"/>
      <c r="K306" s="657"/>
      <c r="L306" s="657"/>
      <c r="M306" s="657"/>
      <c r="N306" s="657"/>
      <c r="O306" s="657"/>
    </row>
    <row r="307" spans="2:16" x14ac:dyDescent="0.25">
      <c r="B307" s="354"/>
      <c r="C307" s="354"/>
      <c r="D307" s="354"/>
      <c r="E307" s="354"/>
      <c r="F307" s="354"/>
      <c r="G307" s="354"/>
      <c r="H307" s="354"/>
      <c r="I307" s="354"/>
      <c r="K307" s="657"/>
      <c r="L307" s="657"/>
      <c r="M307" s="657"/>
      <c r="N307" s="657"/>
      <c r="O307" s="657"/>
    </row>
    <row r="308" spans="2:16" x14ac:dyDescent="0.25">
      <c r="B308" s="354"/>
      <c r="C308" s="354"/>
      <c r="D308" s="354"/>
      <c r="E308" s="354"/>
      <c r="F308" s="354"/>
      <c r="G308" s="354"/>
      <c r="H308" s="354"/>
      <c r="I308" s="354"/>
      <c r="K308" s="657"/>
      <c r="L308" s="657"/>
      <c r="M308" s="657"/>
      <c r="N308" s="657"/>
      <c r="O308" s="657"/>
    </row>
    <row r="309" spans="2:16" x14ac:dyDescent="0.25">
      <c r="B309" s="354"/>
      <c r="C309" s="354"/>
      <c r="D309" s="354"/>
      <c r="E309" s="354"/>
      <c r="F309" s="354"/>
      <c r="G309" s="354"/>
      <c r="H309" s="354"/>
      <c r="I309" s="354"/>
      <c r="K309" s="657"/>
      <c r="L309" s="657"/>
      <c r="M309" s="657"/>
      <c r="N309" s="657"/>
      <c r="O309" s="657"/>
    </row>
    <row r="310" spans="2:16" x14ac:dyDescent="0.25">
      <c r="B310" s="354"/>
      <c r="C310" s="354"/>
      <c r="D310" s="354"/>
      <c r="E310" s="354"/>
      <c r="F310" s="354"/>
      <c r="G310" s="354"/>
      <c r="H310" s="354"/>
      <c r="I310" s="354"/>
      <c r="K310" s="657"/>
      <c r="L310" s="657"/>
      <c r="M310" s="657"/>
      <c r="N310" s="657"/>
      <c r="O310" s="657"/>
    </row>
    <row r="311" spans="2:16" x14ac:dyDescent="0.25">
      <c r="B311" s="354"/>
      <c r="C311" s="354"/>
      <c r="D311" s="354"/>
      <c r="E311" s="354"/>
      <c r="F311" s="354"/>
      <c r="G311" s="354"/>
      <c r="H311" s="354"/>
      <c r="I311" s="354"/>
      <c r="K311" s="657"/>
      <c r="L311" s="657"/>
      <c r="M311" s="657"/>
      <c r="N311" s="657"/>
      <c r="O311" s="657"/>
      <c r="P311" s="348" t="s">
        <v>2</v>
      </c>
    </row>
    <row r="312" spans="2:16" x14ac:dyDescent="0.25">
      <c r="B312" s="354"/>
      <c r="C312" s="354"/>
      <c r="D312" s="354"/>
      <c r="E312" s="354"/>
      <c r="F312" s="354"/>
      <c r="G312" s="354"/>
      <c r="H312" s="354"/>
      <c r="I312" s="354"/>
      <c r="K312" s="657"/>
      <c r="L312" s="657"/>
      <c r="M312" s="657"/>
      <c r="N312" s="657"/>
      <c r="O312" s="657"/>
    </row>
    <row r="313" spans="2:16" x14ac:dyDescent="0.25">
      <c r="B313" s="354"/>
      <c r="C313" s="354"/>
      <c r="D313" s="354"/>
      <c r="E313" s="354"/>
      <c r="F313" s="354"/>
      <c r="G313" s="354"/>
      <c r="H313" s="354"/>
      <c r="I313" s="354"/>
      <c r="K313" s="657"/>
      <c r="L313" s="657"/>
      <c r="M313" s="657"/>
      <c r="N313" s="657"/>
      <c r="O313" s="657"/>
    </row>
    <row r="314" spans="2:16" x14ac:dyDescent="0.25">
      <c r="B314" s="354"/>
      <c r="C314" s="354"/>
      <c r="D314" s="354"/>
      <c r="E314" s="354"/>
      <c r="F314" s="354"/>
      <c r="G314" s="354"/>
      <c r="H314" s="354"/>
      <c r="I314" s="354"/>
      <c r="K314" s="657"/>
      <c r="L314" s="657"/>
      <c r="M314" s="657"/>
      <c r="N314" s="657"/>
      <c r="O314" s="657"/>
    </row>
    <row r="315" spans="2:16" x14ac:dyDescent="0.25">
      <c r="B315" s="354"/>
      <c r="C315" s="354"/>
      <c r="D315" s="354"/>
      <c r="E315" s="354"/>
      <c r="F315" s="354"/>
      <c r="G315" s="354"/>
      <c r="H315" s="354"/>
      <c r="I315" s="354"/>
      <c r="K315" s="657"/>
      <c r="L315" s="657"/>
      <c r="M315" s="657"/>
      <c r="N315" s="657"/>
      <c r="O315" s="657"/>
    </row>
    <row r="316" spans="2:16" x14ac:dyDescent="0.25">
      <c r="B316" s="354"/>
      <c r="C316" s="354"/>
      <c r="D316" s="354"/>
      <c r="E316" s="354"/>
      <c r="F316" s="354"/>
      <c r="G316" s="354"/>
      <c r="H316" s="354"/>
      <c r="I316" s="354"/>
      <c r="K316" s="657"/>
      <c r="L316" s="657"/>
      <c r="M316" s="657"/>
      <c r="N316" s="657"/>
      <c r="O316" s="657"/>
    </row>
    <row r="317" spans="2:16" x14ac:dyDescent="0.25">
      <c r="B317" s="354"/>
      <c r="C317" s="354"/>
      <c r="D317" s="354"/>
      <c r="E317" s="354"/>
      <c r="F317" s="354"/>
      <c r="G317" s="354"/>
      <c r="H317" s="354"/>
      <c r="I317" s="354"/>
      <c r="K317" s="657"/>
      <c r="L317" s="657"/>
      <c r="M317" s="657"/>
      <c r="N317" s="657"/>
      <c r="O317" s="657"/>
    </row>
    <row r="318" spans="2:16" x14ac:dyDescent="0.25">
      <c r="B318" s="354"/>
      <c r="C318" s="354"/>
      <c r="D318" s="354"/>
      <c r="E318" s="354"/>
      <c r="F318" s="354"/>
      <c r="G318" s="354"/>
      <c r="H318" s="354"/>
      <c r="I318" s="354"/>
      <c r="K318" s="657"/>
      <c r="L318" s="657"/>
      <c r="M318" s="657"/>
      <c r="N318" s="657"/>
      <c r="O318" s="657"/>
    </row>
    <row r="319" spans="2:16" x14ac:dyDescent="0.25">
      <c r="B319" s="354"/>
      <c r="C319" s="354"/>
      <c r="D319" s="354"/>
      <c r="E319" s="354"/>
      <c r="F319" s="354"/>
      <c r="G319" s="354"/>
      <c r="H319" s="354"/>
      <c r="I319" s="354"/>
      <c r="K319" s="657"/>
      <c r="L319" s="657"/>
      <c r="M319" s="657"/>
      <c r="N319" s="657"/>
      <c r="O319" s="657"/>
    </row>
    <row r="320" spans="2:16" x14ac:dyDescent="0.25">
      <c r="B320" s="354"/>
      <c r="C320" s="354"/>
      <c r="D320" s="354"/>
      <c r="E320" s="354"/>
      <c r="F320" s="354"/>
      <c r="G320" s="354"/>
      <c r="H320" s="354"/>
      <c r="I320" s="354"/>
      <c r="K320" s="657"/>
      <c r="L320" s="657"/>
      <c r="M320" s="657"/>
      <c r="N320" s="657"/>
      <c r="O320" s="657"/>
      <c r="P320" s="348" t="s">
        <v>2</v>
      </c>
    </row>
    <row r="321" spans="2:16" x14ac:dyDescent="0.25">
      <c r="B321" s="354"/>
      <c r="C321" s="354"/>
      <c r="D321" s="354"/>
      <c r="E321" s="354"/>
      <c r="F321" s="354"/>
      <c r="G321" s="354"/>
      <c r="H321" s="354"/>
      <c r="I321" s="354"/>
      <c r="K321" s="657"/>
      <c r="L321" s="657"/>
      <c r="M321" s="657"/>
      <c r="N321" s="657"/>
      <c r="O321" s="657"/>
    </row>
    <row r="322" spans="2:16" x14ac:dyDescent="0.25">
      <c r="B322" s="354"/>
      <c r="C322" s="354"/>
      <c r="D322" s="354"/>
      <c r="E322" s="354"/>
      <c r="F322" s="354"/>
      <c r="G322" s="354"/>
      <c r="H322" s="354"/>
      <c r="I322" s="354"/>
      <c r="K322" s="657"/>
      <c r="L322" s="657"/>
      <c r="M322" s="657"/>
      <c r="N322" s="657"/>
      <c r="O322" s="657"/>
    </row>
    <row r="323" spans="2:16" x14ac:dyDescent="0.25">
      <c r="B323" s="354"/>
      <c r="C323" s="354"/>
      <c r="D323" s="354"/>
      <c r="E323" s="354"/>
      <c r="F323" s="354"/>
      <c r="G323" s="354"/>
      <c r="H323" s="354"/>
      <c r="I323" s="354"/>
      <c r="K323" s="657"/>
      <c r="L323" s="657"/>
      <c r="M323" s="657"/>
      <c r="N323" s="657"/>
      <c r="O323" s="657"/>
      <c r="P323" s="348" t="s">
        <v>2</v>
      </c>
    </row>
    <row r="324" spans="2:16" x14ac:dyDescent="0.25">
      <c r="B324" s="354"/>
      <c r="C324" s="354"/>
      <c r="D324" s="354"/>
      <c r="E324" s="354"/>
      <c r="F324" s="354"/>
      <c r="G324" s="354"/>
      <c r="H324" s="354"/>
      <c r="I324" s="354"/>
      <c r="K324" s="657"/>
      <c r="L324" s="657"/>
      <c r="M324" s="657"/>
      <c r="N324" s="657"/>
      <c r="O324" s="657"/>
    </row>
    <row r="325" spans="2:16" x14ac:dyDescent="0.25">
      <c r="B325" s="354"/>
      <c r="C325" s="354"/>
      <c r="D325" s="354"/>
      <c r="E325" s="354"/>
      <c r="F325" s="354"/>
      <c r="G325" s="354"/>
      <c r="H325" s="354"/>
      <c r="I325" s="354"/>
      <c r="K325" s="657"/>
      <c r="L325" s="657"/>
      <c r="M325" s="657"/>
      <c r="N325" s="657"/>
      <c r="O325" s="657"/>
    </row>
    <row r="326" spans="2:16" x14ac:dyDescent="0.25">
      <c r="B326" s="354"/>
      <c r="C326" s="354"/>
      <c r="D326" s="354"/>
      <c r="E326" s="354"/>
      <c r="F326" s="354"/>
      <c r="G326" s="354"/>
      <c r="H326" s="354"/>
      <c r="I326" s="354"/>
      <c r="K326" s="657"/>
      <c r="L326" s="657"/>
      <c r="M326" s="657"/>
      <c r="N326" s="657"/>
      <c r="O326" s="657"/>
      <c r="P326" s="348" t="s">
        <v>2</v>
      </c>
    </row>
    <row r="327" spans="2:16" x14ac:dyDescent="0.25">
      <c r="B327" s="354"/>
      <c r="C327" s="354"/>
      <c r="D327" s="354"/>
      <c r="E327" s="354"/>
      <c r="F327" s="354"/>
      <c r="G327" s="354"/>
      <c r="H327" s="354"/>
      <c r="I327" s="354"/>
      <c r="K327" s="657"/>
      <c r="L327" s="657"/>
      <c r="M327" s="657"/>
      <c r="N327" s="657"/>
      <c r="O327" s="657"/>
      <c r="P327" s="348" t="s">
        <v>2</v>
      </c>
    </row>
    <row r="328" spans="2:16" x14ac:dyDescent="0.25">
      <c r="B328" s="354"/>
      <c r="C328" s="354"/>
      <c r="D328" s="354"/>
      <c r="E328" s="354"/>
      <c r="F328" s="354"/>
      <c r="G328" s="354"/>
      <c r="H328" s="354"/>
      <c r="I328" s="354"/>
      <c r="K328" s="657"/>
      <c r="L328" s="657"/>
      <c r="M328" s="657"/>
      <c r="N328" s="657"/>
      <c r="O328" s="657"/>
    </row>
    <row r="329" spans="2:16" x14ac:dyDescent="0.25">
      <c r="B329" s="354"/>
      <c r="C329" s="354"/>
      <c r="D329" s="354"/>
      <c r="E329" s="354"/>
      <c r="F329" s="354"/>
      <c r="G329" s="354"/>
      <c r="H329" s="354"/>
      <c r="I329" s="354"/>
      <c r="K329" s="657"/>
      <c r="L329" s="657"/>
      <c r="M329" s="657"/>
      <c r="N329" s="657"/>
      <c r="O329" s="657"/>
    </row>
    <row r="330" spans="2:16" x14ac:dyDescent="0.25">
      <c r="B330" s="354"/>
      <c r="C330" s="354"/>
      <c r="D330" s="354"/>
      <c r="E330" s="354"/>
      <c r="F330" s="354"/>
      <c r="G330" s="354"/>
      <c r="H330" s="354"/>
      <c r="I330" s="354"/>
      <c r="K330" s="657"/>
      <c r="L330" s="657"/>
      <c r="M330" s="657"/>
      <c r="N330" s="657"/>
      <c r="O330" s="657"/>
    </row>
    <row r="331" spans="2:16" x14ac:dyDescent="0.25">
      <c r="B331" s="354"/>
      <c r="C331" s="354"/>
      <c r="D331" s="354"/>
      <c r="E331" s="354"/>
      <c r="F331" s="354"/>
      <c r="G331" s="354"/>
      <c r="H331" s="354"/>
      <c r="I331" s="354"/>
      <c r="K331" s="657"/>
      <c r="L331" s="657"/>
      <c r="M331" s="657"/>
      <c r="N331" s="657"/>
      <c r="O331" s="657"/>
    </row>
    <row r="332" spans="2:16" x14ac:dyDescent="0.25">
      <c r="B332" s="354"/>
      <c r="C332" s="354"/>
      <c r="D332" s="354"/>
      <c r="E332" s="354"/>
      <c r="F332" s="354"/>
      <c r="G332" s="354"/>
      <c r="H332" s="354"/>
      <c r="I332" s="354"/>
      <c r="K332" s="657"/>
      <c r="L332" s="657"/>
      <c r="M332" s="657"/>
      <c r="N332" s="657"/>
      <c r="O332" s="657"/>
    </row>
    <row r="333" spans="2:16" x14ac:dyDescent="0.25">
      <c r="B333" s="354"/>
      <c r="C333" s="354"/>
      <c r="D333" s="354"/>
      <c r="E333" s="354"/>
      <c r="F333" s="354"/>
      <c r="G333" s="354"/>
      <c r="H333" s="354"/>
      <c r="I333" s="354"/>
      <c r="K333" s="657"/>
      <c r="L333" s="657"/>
      <c r="M333" s="657"/>
      <c r="N333" s="657"/>
      <c r="O333" s="657"/>
    </row>
    <row r="334" spans="2:16" x14ac:dyDescent="0.25">
      <c r="B334" s="354"/>
      <c r="C334" s="354"/>
      <c r="D334" s="354"/>
      <c r="E334" s="354"/>
      <c r="F334" s="354"/>
      <c r="G334" s="354"/>
      <c r="H334" s="354"/>
      <c r="I334" s="354"/>
      <c r="K334" s="657"/>
      <c r="L334" s="657"/>
      <c r="M334" s="657"/>
      <c r="N334" s="657"/>
      <c r="O334" s="657"/>
    </row>
    <row r="335" spans="2:16" x14ac:dyDescent="0.25">
      <c r="B335" s="354"/>
      <c r="C335" s="354"/>
      <c r="D335" s="354"/>
      <c r="E335" s="354"/>
      <c r="F335" s="354"/>
      <c r="G335" s="354"/>
      <c r="H335" s="354"/>
      <c r="I335" s="354"/>
      <c r="K335" s="657"/>
      <c r="L335" s="657"/>
      <c r="M335" s="657"/>
      <c r="N335" s="657"/>
      <c r="O335" s="657"/>
    </row>
    <row r="336" spans="2:16" x14ac:dyDescent="0.25">
      <c r="B336" s="354"/>
      <c r="C336" s="354"/>
      <c r="D336" s="354"/>
      <c r="E336" s="354"/>
      <c r="F336" s="354"/>
      <c r="G336" s="354"/>
      <c r="H336" s="354"/>
      <c r="I336" s="354"/>
      <c r="K336" s="657"/>
      <c r="L336" s="657"/>
      <c r="M336" s="657"/>
      <c r="N336" s="657"/>
      <c r="O336" s="657"/>
    </row>
    <row r="337" spans="2:15" x14ac:dyDescent="0.25">
      <c r="B337" s="354"/>
      <c r="C337" s="354"/>
      <c r="D337" s="354"/>
      <c r="E337" s="354"/>
      <c r="F337" s="354"/>
      <c r="G337" s="354"/>
      <c r="H337" s="354"/>
      <c r="I337" s="354"/>
      <c r="K337" s="657"/>
      <c r="L337" s="657"/>
      <c r="M337" s="657"/>
      <c r="N337" s="657"/>
      <c r="O337" s="657"/>
    </row>
    <row r="338" spans="2:15" x14ac:dyDescent="0.25">
      <c r="B338" s="354"/>
      <c r="C338" s="354"/>
      <c r="D338" s="354"/>
      <c r="E338" s="354"/>
      <c r="F338" s="354"/>
      <c r="G338" s="354"/>
      <c r="H338" s="354"/>
      <c r="I338" s="354"/>
      <c r="K338" s="657"/>
      <c r="L338" s="657"/>
      <c r="M338" s="657"/>
      <c r="N338" s="657"/>
      <c r="O338" s="657"/>
    </row>
    <row r="339" spans="2:15" x14ac:dyDescent="0.25">
      <c r="B339" s="354"/>
      <c r="C339" s="354"/>
      <c r="D339" s="354"/>
      <c r="E339" s="354"/>
      <c r="F339" s="354"/>
      <c r="G339" s="354"/>
      <c r="H339" s="354"/>
      <c r="I339" s="354"/>
      <c r="K339" s="657"/>
      <c r="L339" s="657"/>
      <c r="M339" s="657"/>
      <c r="N339" s="657"/>
      <c r="O339" s="657"/>
    </row>
    <row r="340" spans="2:15" x14ac:dyDescent="0.25">
      <c r="B340" s="354"/>
      <c r="C340" s="354"/>
      <c r="D340" s="354"/>
      <c r="E340" s="354"/>
      <c r="F340" s="354"/>
      <c r="G340" s="354"/>
      <c r="H340" s="354"/>
      <c r="I340" s="354"/>
      <c r="K340" s="657"/>
      <c r="L340" s="657"/>
      <c r="M340" s="657"/>
      <c r="N340" s="657"/>
      <c r="O340" s="657"/>
    </row>
    <row r="341" spans="2:15" x14ac:dyDescent="0.25">
      <c r="B341" s="354"/>
      <c r="C341" s="354"/>
      <c r="D341" s="354"/>
      <c r="E341" s="354"/>
      <c r="F341" s="354"/>
      <c r="G341" s="354"/>
      <c r="H341" s="354"/>
      <c r="I341" s="354"/>
      <c r="K341" s="657"/>
      <c r="L341" s="657"/>
      <c r="M341" s="657"/>
      <c r="N341" s="657"/>
      <c r="O341" s="657"/>
    </row>
    <row r="342" spans="2:15" x14ac:dyDescent="0.25">
      <c r="B342" s="354"/>
      <c r="C342" s="354"/>
      <c r="D342" s="354"/>
      <c r="E342" s="354"/>
      <c r="F342" s="354"/>
      <c r="G342" s="354"/>
      <c r="H342" s="354"/>
      <c r="I342" s="354"/>
      <c r="K342" s="657"/>
      <c r="L342" s="657"/>
      <c r="M342" s="657"/>
      <c r="N342" s="657"/>
      <c r="O342" s="657"/>
    </row>
    <row r="343" spans="2:15" x14ac:dyDescent="0.25">
      <c r="B343" s="354"/>
      <c r="C343" s="354"/>
      <c r="D343" s="354"/>
      <c r="E343" s="354"/>
      <c r="F343" s="354"/>
      <c r="G343" s="354"/>
      <c r="H343" s="354"/>
      <c r="I343" s="354"/>
      <c r="K343" s="657"/>
      <c r="L343" s="657"/>
      <c r="M343" s="657"/>
      <c r="N343" s="657"/>
      <c r="O343" s="657"/>
    </row>
    <row r="344" spans="2:15" x14ac:dyDescent="0.25">
      <c r="B344" s="354"/>
      <c r="C344" s="354"/>
      <c r="D344" s="354"/>
      <c r="E344" s="354"/>
      <c r="F344" s="354"/>
      <c r="G344" s="354"/>
      <c r="H344" s="354"/>
      <c r="I344" s="354"/>
      <c r="K344" s="657"/>
      <c r="L344" s="657"/>
      <c r="M344" s="657"/>
      <c r="N344" s="657"/>
      <c r="O344" s="657"/>
    </row>
    <row r="345" spans="2:15" x14ac:dyDescent="0.25">
      <c r="B345" s="354"/>
      <c r="C345" s="354"/>
      <c r="D345" s="354"/>
      <c r="E345" s="354"/>
      <c r="F345" s="354"/>
      <c r="G345" s="354"/>
      <c r="H345" s="354"/>
      <c r="I345" s="354"/>
      <c r="K345" s="657"/>
      <c r="L345" s="657"/>
      <c r="M345" s="657"/>
      <c r="N345" s="657"/>
      <c r="O345" s="657"/>
    </row>
    <row r="346" spans="2:15" x14ac:dyDescent="0.25">
      <c r="B346" s="354"/>
      <c r="C346" s="354"/>
      <c r="D346" s="354"/>
      <c r="E346" s="354"/>
      <c r="F346" s="354"/>
      <c r="G346" s="354"/>
      <c r="H346" s="354"/>
      <c r="I346" s="354"/>
      <c r="K346" s="657"/>
      <c r="L346" s="657"/>
      <c r="M346" s="657"/>
      <c r="N346" s="657"/>
      <c r="O346" s="657"/>
    </row>
    <row r="347" spans="2:15" x14ac:dyDescent="0.25">
      <c r="B347" s="354"/>
      <c r="C347" s="354"/>
      <c r="D347" s="354"/>
      <c r="E347" s="354"/>
      <c r="F347" s="354"/>
      <c r="G347" s="354"/>
      <c r="H347" s="354"/>
      <c r="I347" s="354"/>
      <c r="K347" s="657"/>
      <c r="L347" s="657"/>
      <c r="M347" s="657"/>
      <c r="N347" s="657"/>
      <c r="O347" s="657"/>
    </row>
    <row r="348" spans="2:15" x14ac:dyDescent="0.25">
      <c r="B348" s="354"/>
      <c r="C348" s="354"/>
      <c r="D348" s="354"/>
      <c r="E348" s="354"/>
      <c r="F348" s="354"/>
      <c r="G348" s="354"/>
      <c r="H348" s="354"/>
      <c r="I348" s="354"/>
      <c r="K348" s="657"/>
      <c r="L348" s="657"/>
      <c r="M348" s="657"/>
      <c r="N348" s="657"/>
      <c r="O348" s="657"/>
    </row>
    <row r="349" spans="2:15" x14ac:dyDescent="0.25">
      <c r="B349" s="354"/>
      <c r="C349" s="354"/>
      <c r="D349" s="354"/>
      <c r="E349" s="354"/>
      <c r="F349" s="354"/>
      <c r="G349" s="354"/>
      <c r="H349" s="354"/>
      <c r="I349" s="354"/>
      <c r="K349" s="657"/>
      <c r="L349" s="657"/>
      <c r="M349" s="657"/>
      <c r="N349" s="657"/>
      <c r="O349" s="657"/>
    </row>
    <row r="350" spans="2:15" x14ac:dyDescent="0.25">
      <c r="B350" s="354"/>
      <c r="C350" s="354"/>
      <c r="D350" s="354"/>
      <c r="E350" s="354"/>
      <c r="F350" s="354"/>
      <c r="G350" s="354"/>
      <c r="H350" s="354"/>
      <c r="I350" s="354"/>
      <c r="K350" s="657"/>
      <c r="L350" s="657"/>
      <c r="M350" s="657"/>
      <c r="N350" s="657"/>
      <c r="O350" s="657"/>
    </row>
    <row r="351" spans="2:15" x14ac:dyDescent="0.25">
      <c r="B351" s="354"/>
      <c r="C351" s="354"/>
      <c r="D351" s="354"/>
      <c r="E351" s="354"/>
      <c r="F351" s="354"/>
      <c r="G351" s="354"/>
      <c r="H351" s="354"/>
      <c r="I351" s="354"/>
      <c r="K351" s="657"/>
      <c r="L351" s="657"/>
      <c r="M351" s="657"/>
      <c r="N351" s="657"/>
      <c r="O351" s="657"/>
    </row>
    <row r="352" spans="2:15" x14ac:dyDescent="0.25">
      <c r="B352" s="354"/>
      <c r="C352" s="354"/>
      <c r="D352" s="354"/>
      <c r="E352" s="354"/>
      <c r="F352" s="354"/>
      <c r="G352" s="354"/>
      <c r="H352" s="354"/>
      <c r="I352" s="354"/>
      <c r="K352" s="657"/>
      <c r="L352" s="657"/>
      <c r="M352" s="657"/>
      <c r="N352" s="657"/>
      <c r="O352" s="657"/>
    </row>
    <row r="353" spans="2:15" x14ac:dyDescent="0.25">
      <c r="B353" s="354"/>
      <c r="C353" s="354"/>
      <c r="D353" s="354"/>
      <c r="E353" s="354"/>
      <c r="F353" s="354"/>
      <c r="G353" s="354"/>
      <c r="H353" s="354"/>
      <c r="I353" s="354"/>
      <c r="K353" s="657"/>
      <c r="L353" s="657"/>
      <c r="M353" s="657"/>
      <c r="N353" s="657"/>
      <c r="O353" s="657"/>
    </row>
    <row r="354" spans="2:15" x14ac:dyDescent="0.25">
      <c r="B354" s="354"/>
      <c r="C354" s="354"/>
      <c r="D354" s="354"/>
      <c r="E354" s="354"/>
      <c r="F354" s="354"/>
      <c r="G354" s="354"/>
      <c r="H354" s="354"/>
      <c r="I354" s="354"/>
      <c r="K354" s="657"/>
      <c r="L354" s="657"/>
      <c r="M354" s="657"/>
      <c r="N354" s="657"/>
      <c r="O354" s="657"/>
    </row>
    <row r="355" spans="2:15" x14ac:dyDescent="0.25">
      <c r="B355" s="354"/>
      <c r="C355" s="354"/>
      <c r="D355" s="354"/>
      <c r="E355" s="354"/>
      <c r="F355" s="354"/>
      <c r="G355" s="354"/>
      <c r="H355" s="354"/>
      <c r="I355" s="354"/>
      <c r="K355" s="657"/>
      <c r="L355" s="657"/>
      <c r="M355" s="657"/>
      <c r="N355" s="657"/>
      <c r="O355" s="657"/>
    </row>
    <row r="356" spans="2:15" x14ac:dyDescent="0.25">
      <c r="B356" s="354"/>
      <c r="C356" s="354"/>
      <c r="D356" s="354"/>
      <c r="E356" s="354"/>
      <c r="F356" s="354"/>
      <c r="G356" s="354"/>
      <c r="H356" s="354"/>
      <c r="I356" s="354"/>
      <c r="K356" s="657"/>
      <c r="L356" s="657"/>
      <c r="M356" s="657"/>
      <c r="N356" s="657"/>
      <c r="O356" s="657"/>
    </row>
    <row r="357" spans="2:15" x14ac:dyDescent="0.25">
      <c r="B357" s="354"/>
      <c r="C357" s="354"/>
      <c r="D357" s="354"/>
      <c r="E357" s="354"/>
      <c r="F357" s="354"/>
      <c r="G357" s="354"/>
      <c r="H357" s="354"/>
      <c r="I357" s="354"/>
      <c r="K357" s="657"/>
      <c r="L357" s="657"/>
      <c r="M357" s="657"/>
      <c r="N357" s="657"/>
      <c r="O357" s="657"/>
    </row>
    <row r="358" spans="2:15" x14ac:dyDescent="0.25">
      <c r="B358" s="354"/>
      <c r="C358" s="354"/>
      <c r="D358" s="354"/>
      <c r="E358" s="354"/>
      <c r="F358" s="354"/>
      <c r="G358" s="354"/>
      <c r="H358" s="354"/>
      <c r="I358" s="354"/>
      <c r="K358" s="657"/>
      <c r="L358" s="657"/>
      <c r="M358" s="657"/>
      <c r="N358" s="657"/>
      <c r="O358" s="657"/>
    </row>
    <row r="359" spans="2:15" x14ac:dyDescent="0.25">
      <c r="B359" s="354"/>
      <c r="C359" s="354"/>
      <c r="D359" s="354"/>
      <c r="E359" s="354"/>
      <c r="F359" s="354"/>
      <c r="G359" s="354"/>
      <c r="H359" s="354"/>
      <c r="I359" s="354"/>
      <c r="K359" s="657"/>
      <c r="L359" s="657"/>
      <c r="M359" s="657"/>
      <c r="N359" s="657"/>
      <c r="O359" s="657"/>
    </row>
    <row r="360" spans="2:15" x14ac:dyDescent="0.25">
      <c r="B360" s="354"/>
      <c r="C360" s="354"/>
      <c r="D360" s="354"/>
      <c r="E360" s="354"/>
      <c r="F360" s="354"/>
      <c r="G360" s="354"/>
      <c r="H360" s="354"/>
      <c r="I360" s="354"/>
      <c r="K360" s="657"/>
      <c r="L360" s="657"/>
      <c r="M360" s="657"/>
      <c r="N360" s="657"/>
      <c r="O360" s="657"/>
    </row>
    <row r="361" spans="2:15" x14ac:dyDescent="0.25">
      <c r="B361" s="354"/>
      <c r="C361" s="354"/>
      <c r="D361" s="354"/>
      <c r="E361" s="354"/>
      <c r="F361" s="354"/>
      <c r="G361" s="354"/>
      <c r="H361" s="354"/>
      <c r="I361" s="354"/>
      <c r="K361" s="657"/>
      <c r="L361" s="657"/>
      <c r="M361" s="657"/>
      <c r="N361" s="657"/>
      <c r="O361" s="657"/>
    </row>
    <row r="362" spans="2:15" x14ac:dyDescent="0.25">
      <c r="B362" s="354"/>
      <c r="C362" s="354"/>
      <c r="D362" s="354"/>
      <c r="E362" s="354"/>
      <c r="F362" s="354"/>
      <c r="G362" s="354"/>
      <c r="H362" s="354"/>
      <c r="I362" s="354"/>
      <c r="K362" s="657"/>
      <c r="L362" s="657"/>
      <c r="M362" s="657"/>
      <c r="N362" s="657"/>
      <c r="O362" s="657"/>
    </row>
    <row r="363" spans="2:15" x14ac:dyDescent="0.25">
      <c r="B363" s="354"/>
      <c r="C363" s="354"/>
      <c r="D363" s="354"/>
      <c r="E363" s="354"/>
      <c r="F363" s="354"/>
      <c r="G363" s="354"/>
      <c r="H363" s="354"/>
      <c r="I363" s="354"/>
      <c r="K363" s="657"/>
      <c r="L363" s="657"/>
      <c r="M363" s="657"/>
      <c r="N363" s="657"/>
      <c r="O363" s="657"/>
    </row>
    <row r="364" spans="2:15" x14ac:dyDescent="0.25">
      <c r="B364" s="354"/>
      <c r="C364" s="354"/>
      <c r="D364" s="354"/>
      <c r="E364" s="354"/>
      <c r="F364" s="354"/>
      <c r="G364" s="354"/>
      <c r="H364" s="354"/>
      <c r="I364" s="354"/>
      <c r="K364" s="657"/>
      <c r="L364" s="657"/>
      <c r="M364" s="657"/>
      <c r="N364" s="657"/>
      <c r="O364" s="657"/>
    </row>
    <row r="365" spans="2:15" x14ac:dyDescent="0.25">
      <c r="B365" s="354"/>
      <c r="C365" s="354"/>
      <c r="D365" s="354"/>
      <c r="E365" s="354"/>
      <c r="F365" s="354"/>
      <c r="G365" s="354"/>
      <c r="H365" s="354"/>
      <c r="I365" s="354"/>
      <c r="K365" s="657"/>
      <c r="L365" s="657"/>
      <c r="M365" s="657"/>
      <c r="N365" s="657"/>
      <c r="O365" s="657"/>
    </row>
    <row r="366" spans="2:15" x14ac:dyDescent="0.25">
      <c r="B366" s="354"/>
      <c r="C366" s="354"/>
      <c r="D366" s="354"/>
      <c r="E366" s="354"/>
      <c r="F366" s="354"/>
      <c r="G366" s="354"/>
      <c r="H366" s="354"/>
      <c r="I366" s="354"/>
      <c r="K366" s="657"/>
      <c r="L366" s="657"/>
      <c r="M366" s="657"/>
      <c r="N366" s="657"/>
      <c r="O366" s="657"/>
    </row>
    <row r="367" spans="2:15" x14ac:dyDescent="0.25">
      <c r="B367" s="354"/>
      <c r="C367" s="354"/>
      <c r="D367" s="354"/>
      <c r="E367" s="354"/>
      <c r="F367" s="354"/>
      <c r="G367" s="354"/>
      <c r="H367" s="354"/>
      <c r="I367" s="354"/>
      <c r="K367" s="657"/>
      <c r="L367" s="657"/>
      <c r="M367" s="657"/>
      <c r="N367" s="657"/>
      <c r="O367" s="657"/>
    </row>
    <row r="368" spans="2:15" x14ac:dyDescent="0.25">
      <c r="B368" s="354"/>
      <c r="C368" s="354"/>
      <c r="D368" s="354"/>
      <c r="E368" s="354"/>
      <c r="F368" s="354"/>
      <c r="G368" s="354"/>
      <c r="H368" s="354"/>
      <c r="I368" s="354"/>
      <c r="K368" s="657"/>
      <c r="L368" s="657"/>
      <c r="M368" s="657"/>
      <c r="N368" s="657"/>
      <c r="O368" s="657"/>
    </row>
    <row r="369" spans="2:15" x14ac:dyDescent="0.25">
      <c r="B369" s="354"/>
      <c r="C369" s="354"/>
      <c r="D369" s="354"/>
      <c r="E369" s="354"/>
      <c r="F369" s="354"/>
      <c r="G369" s="354"/>
      <c r="H369" s="354"/>
      <c r="I369" s="354"/>
      <c r="K369" s="657"/>
      <c r="L369" s="657"/>
      <c r="M369" s="657"/>
      <c r="N369" s="657"/>
      <c r="O369" s="657"/>
    </row>
    <row r="370" spans="2:15" x14ac:dyDescent="0.25">
      <c r="B370" s="354"/>
      <c r="C370" s="354"/>
      <c r="D370" s="354"/>
      <c r="E370" s="354"/>
      <c r="F370" s="354"/>
      <c r="G370" s="354"/>
      <c r="H370" s="354"/>
      <c r="I370" s="354"/>
      <c r="K370" s="657"/>
      <c r="L370" s="657"/>
      <c r="M370" s="657"/>
      <c r="N370" s="657"/>
      <c r="O370" s="657"/>
    </row>
    <row r="371" spans="2:15" x14ac:dyDescent="0.25">
      <c r="B371" s="354"/>
      <c r="C371" s="354"/>
      <c r="D371" s="354"/>
      <c r="E371" s="354"/>
      <c r="F371" s="354"/>
      <c r="G371" s="354"/>
      <c r="H371" s="354"/>
      <c r="I371" s="354"/>
      <c r="K371" s="657"/>
      <c r="L371" s="657"/>
      <c r="M371" s="657"/>
      <c r="N371" s="657"/>
      <c r="O371" s="657"/>
    </row>
    <row r="372" spans="2:15" x14ac:dyDescent="0.25">
      <c r="B372" s="354"/>
      <c r="C372" s="354"/>
      <c r="D372" s="354"/>
      <c r="E372" s="354"/>
      <c r="F372" s="354"/>
      <c r="G372" s="354"/>
      <c r="H372" s="354"/>
      <c r="I372" s="354"/>
      <c r="K372" s="870"/>
      <c r="L372" s="870"/>
      <c r="M372" s="870"/>
      <c r="N372" s="870"/>
      <c r="O372" s="870"/>
    </row>
    <row r="373" spans="2:15" x14ac:dyDescent="0.25">
      <c r="B373" s="354"/>
      <c r="C373" s="354"/>
      <c r="D373" s="354"/>
      <c r="E373" s="354"/>
      <c r="F373" s="354"/>
      <c r="G373" s="354"/>
      <c r="H373" s="354"/>
      <c r="I373" s="354"/>
      <c r="K373" s="657"/>
      <c r="L373" s="657"/>
      <c r="M373" s="657"/>
      <c r="N373" s="657"/>
      <c r="O373" s="657"/>
    </row>
    <row r="374" spans="2:15" x14ac:dyDescent="0.25">
      <c r="B374" s="354"/>
      <c r="C374" s="354"/>
      <c r="D374" s="354"/>
      <c r="E374" s="354"/>
      <c r="F374" s="354"/>
      <c r="G374" s="354"/>
      <c r="H374" s="354"/>
      <c r="I374" s="354"/>
      <c r="K374" s="657"/>
      <c r="L374" s="657"/>
      <c r="M374" s="657"/>
      <c r="N374" s="657"/>
      <c r="O374" s="657"/>
    </row>
    <row r="375" spans="2:15" x14ac:dyDescent="0.25">
      <c r="B375" s="354"/>
      <c r="C375" s="354"/>
      <c r="D375" s="354"/>
      <c r="E375" s="354"/>
      <c r="F375" s="354"/>
      <c r="G375" s="354"/>
      <c r="H375" s="354"/>
      <c r="I375" s="354"/>
      <c r="K375" s="657"/>
      <c r="L375" s="657"/>
      <c r="M375" s="657"/>
      <c r="N375" s="657"/>
      <c r="O375" s="657"/>
    </row>
    <row r="376" spans="2:15" x14ac:dyDescent="0.25">
      <c r="B376" s="354"/>
      <c r="C376" s="354"/>
      <c r="D376" s="354"/>
      <c r="E376" s="354"/>
      <c r="F376" s="354"/>
      <c r="G376" s="354"/>
      <c r="H376" s="354"/>
      <c r="I376" s="354"/>
      <c r="K376" s="657"/>
      <c r="L376" s="657"/>
      <c r="M376" s="657"/>
      <c r="N376" s="657"/>
      <c r="O376" s="657"/>
    </row>
    <row r="377" spans="2:15" x14ac:dyDescent="0.25">
      <c r="B377" s="354"/>
      <c r="C377" s="354"/>
      <c r="D377" s="354"/>
      <c r="E377" s="354"/>
      <c r="F377" s="354"/>
      <c r="G377" s="354"/>
      <c r="H377" s="354"/>
      <c r="I377" s="354"/>
      <c r="K377" s="657"/>
      <c r="L377" s="657"/>
      <c r="M377" s="657"/>
      <c r="N377" s="657"/>
      <c r="O377" s="657"/>
    </row>
    <row r="378" spans="2:15" x14ac:dyDescent="0.25">
      <c r="B378" s="354"/>
      <c r="C378" s="354"/>
      <c r="D378" s="354"/>
      <c r="E378" s="354"/>
      <c r="F378" s="354"/>
      <c r="G378" s="354"/>
      <c r="H378" s="354"/>
      <c r="I378" s="354"/>
      <c r="K378" s="657"/>
      <c r="L378" s="657"/>
      <c r="M378" s="657"/>
      <c r="N378" s="657"/>
      <c r="O378" s="657"/>
    </row>
    <row r="379" spans="2:15" x14ac:dyDescent="0.25">
      <c r="B379" s="354"/>
      <c r="C379" s="354"/>
      <c r="D379" s="354"/>
      <c r="E379" s="354"/>
      <c r="F379" s="354"/>
      <c r="G379" s="354"/>
      <c r="H379" s="354"/>
      <c r="I379" s="354"/>
      <c r="K379" s="657"/>
      <c r="L379" s="657"/>
      <c r="M379" s="657"/>
      <c r="N379" s="657"/>
      <c r="O379" s="657"/>
    </row>
    <row r="380" spans="2:15" x14ac:dyDescent="0.25">
      <c r="B380" s="354"/>
      <c r="C380" s="354"/>
      <c r="D380" s="354"/>
      <c r="E380" s="354"/>
      <c r="F380" s="354"/>
      <c r="G380" s="354"/>
      <c r="H380" s="354"/>
      <c r="I380" s="354"/>
      <c r="K380" s="657"/>
      <c r="L380" s="657"/>
      <c r="M380" s="657"/>
      <c r="N380" s="657"/>
      <c r="O380" s="657"/>
    </row>
    <row r="381" spans="2:15" x14ac:dyDescent="0.25">
      <c r="B381" s="354"/>
      <c r="C381" s="354"/>
      <c r="D381" s="354"/>
      <c r="E381" s="354"/>
      <c r="F381" s="354"/>
      <c r="G381" s="354"/>
      <c r="H381" s="354"/>
      <c r="I381" s="354"/>
      <c r="K381" s="657"/>
      <c r="L381" s="657"/>
      <c r="M381" s="657"/>
      <c r="N381" s="657"/>
      <c r="O381" s="657"/>
    </row>
    <row r="382" spans="2:15" x14ac:dyDescent="0.25">
      <c r="B382" s="354"/>
      <c r="C382" s="354"/>
      <c r="D382" s="354"/>
      <c r="E382" s="354"/>
      <c r="F382" s="354"/>
      <c r="G382" s="354"/>
      <c r="H382" s="354"/>
      <c r="I382" s="354"/>
    </row>
    <row r="383" spans="2:15" x14ac:dyDescent="0.25">
      <c r="B383" s="354"/>
      <c r="C383" s="354"/>
      <c r="D383" s="354"/>
      <c r="E383" s="354"/>
      <c r="F383" s="354"/>
      <c r="G383" s="354"/>
      <c r="H383" s="354"/>
      <c r="I383" s="354"/>
    </row>
    <row r="384" spans="2:15" x14ac:dyDescent="0.25">
      <c r="B384" s="354"/>
      <c r="C384" s="354"/>
      <c r="D384" s="354"/>
      <c r="E384" s="354"/>
      <c r="F384" s="354"/>
      <c r="G384" s="354"/>
      <c r="H384" s="354"/>
      <c r="I384" s="354"/>
    </row>
    <row r="385" spans="2:9" x14ac:dyDescent="0.25">
      <c r="B385" s="354"/>
      <c r="C385" s="354"/>
      <c r="D385" s="354"/>
      <c r="E385" s="354"/>
      <c r="F385" s="354"/>
      <c r="G385" s="354"/>
      <c r="H385" s="354"/>
      <c r="I385" s="354"/>
    </row>
    <row r="386" spans="2:9" x14ac:dyDescent="0.25">
      <c r="B386" s="354"/>
      <c r="C386" s="354"/>
      <c r="D386" s="354"/>
      <c r="E386" s="354"/>
      <c r="F386" s="354"/>
      <c r="G386" s="354"/>
      <c r="H386" s="354"/>
      <c r="I386" s="354"/>
    </row>
    <row r="387" spans="2:9" x14ac:dyDescent="0.25">
      <c r="B387" s="354"/>
      <c r="C387" s="354"/>
      <c r="D387" s="354"/>
      <c r="E387" s="354"/>
      <c r="F387" s="354"/>
      <c r="G387" s="354"/>
      <c r="H387" s="354"/>
      <c r="I387" s="354"/>
    </row>
    <row r="388" spans="2:9" x14ac:dyDescent="0.25">
      <c r="B388" s="354"/>
      <c r="C388" s="354"/>
      <c r="D388" s="354"/>
      <c r="E388" s="354"/>
      <c r="F388" s="354"/>
      <c r="G388" s="354"/>
      <c r="H388" s="354"/>
      <c r="I388" s="354"/>
    </row>
    <row r="389" spans="2:9" x14ac:dyDescent="0.25">
      <c r="B389" s="354"/>
      <c r="C389" s="354"/>
      <c r="D389" s="354"/>
      <c r="E389" s="354"/>
      <c r="F389" s="354"/>
      <c r="G389" s="354"/>
      <c r="H389" s="354"/>
      <c r="I389" s="354"/>
    </row>
    <row r="390" spans="2:9" x14ac:dyDescent="0.25">
      <c r="B390" s="354"/>
      <c r="C390" s="354"/>
      <c r="D390" s="354"/>
      <c r="E390" s="354"/>
      <c r="F390" s="354"/>
      <c r="G390" s="354"/>
      <c r="H390" s="354"/>
      <c r="I390" s="354"/>
    </row>
    <row r="391" spans="2:9" x14ac:dyDescent="0.25">
      <c r="B391" s="354"/>
      <c r="C391" s="354"/>
      <c r="D391" s="354"/>
      <c r="E391" s="354"/>
      <c r="F391" s="354"/>
      <c r="G391" s="354"/>
      <c r="H391" s="354"/>
      <c r="I391" s="354"/>
    </row>
    <row r="392" spans="2:9" x14ac:dyDescent="0.25">
      <c r="B392" s="354"/>
      <c r="C392" s="354"/>
      <c r="D392" s="354"/>
      <c r="E392" s="354"/>
      <c r="F392" s="354"/>
      <c r="G392" s="354"/>
      <c r="H392" s="354"/>
      <c r="I392" s="354"/>
    </row>
    <row r="393" spans="2:9" x14ac:dyDescent="0.25">
      <c r="B393" s="354"/>
      <c r="C393" s="354"/>
      <c r="D393" s="354"/>
      <c r="E393" s="354"/>
      <c r="F393" s="354"/>
      <c r="G393" s="354"/>
      <c r="H393" s="354"/>
      <c r="I393" s="354"/>
    </row>
    <row r="394" spans="2:9" x14ac:dyDescent="0.25">
      <c r="B394" s="354"/>
      <c r="C394" s="354"/>
      <c r="D394" s="354"/>
      <c r="E394" s="354"/>
      <c r="F394" s="354"/>
      <c r="G394" s="354"/>
      <c r="H394" s="354"/>
      <c r="I394" s="354"/>
    </row>
    <row r="395" spans="2:9" x14ac:dyDescent="0.25">
      <c r="B395" s="354"/>
      <c r="C395" s="354"/>
      <c r="D395" s="354"/>
      <c r="E395" s="354"/>
      <c r="F395" s="354"/>
      <c r="G395" s="354"/>
      <c r="H395" s="354"/>
      <c r="I395" s="354"/>
    </row>
    <row r="396" spans="2:9" x14ac:dyDescent="0.25">
      <c r="B396" s="354"/>
      <c r="C396" s="354"/>
      <c r="D396" s="354"/>
      <c r="E396" s="354"/>
      <c r="F396" s="354"/>
      <c r="G396" s="354"/>
      <c r="H396" s="354"/>
      <c r="I396" s="354"/>
    </row>
    <row r="397" spans="2:9" x14ac:dyDescent="0.25">
      <c r="B397" s="354"/>
      <c r="C397" s="354"/>
      <c r="D397" s="354"/>
      <c r="E397" s="354"/>
      <c r="F397" s="354"/>
      <c r="G397" s="354"/>
      <c r="H397" s="354"/>
      <c r="I397" s="354"/>
    </row>
    <row r="398" spans="2:9" x14ac:dyDescent="0.25">
      <c r="B398" s="354"/>
      <c r="C398" s="354"/>
      <c r="D398" s="354"/>
      <c r="E398" s="354"/>
      <c r="F398" s="354"/>
      <c r="G398" s="354"/>
      <c r="H398" s="354"/>
      <c r="I398" s="354"/>
    </row>
    <row r="399" spans="2:9" x14ac:dyDescent="0.25">
      <c r="B399" s="354"/>
      <c r="C399" s="354"/>
      <c r="D399" s="354"/>
      <c r="E399" s="354"/>
      <c r="F399" s="354"/>
      <c r="G399" s="354"/>
      <c r="H399" s="354"/>
      <c r="I399" s="354"/>
    </row>
    <row r="400" spans="2:9" x14ac:dyDescent="0.25">
      <c r="B400" s="354"/>
      <c r="C400" s="354"/>
      <c r="D400" s="354"/>
      <c r="E400" s="354"/>
      <c r="F400" s="354"/>
      <c r="G400" s="354"/>
      <c r="H400" s="354"/>
      <c r="I400" s="354"/>
    </row>
    <row r="401" spans="2:9" x14ac:dyDescent="0.25">
      <c r="B401" s="354"/>
      <c r="C401" s="354"/>
      <c r="D401" s="354"/>
      <c r="E401" s="354"/>
      <c r="F401" s="354"/>
      <c r="G401" s="354"/>
      <c r="H401" s="354"/>
      <c r="I401" s="354"/>
    </row>
    <row r="402" spans="2:9" x14ac:dyDescent="0.25">
      <c r="B402" s="354"/>
      <c r="C402" s="354"/>
      <c r="D402" s="354"/>
      <c r="E402" s="354"/>
      <c r="F402" s="354"/>
      <c r="G402" s="354"/>
      <c r="H402" s="354"/>
      <c r="I402" s="354"/>
    </row>
    <row r="403" spans="2:9" x14ac:dyDescent="0.25">
      <c r="B403" s="354"/>
      <c r="C403" s="354"/>
      <c r="D403" s="354"/>
      <c r="E403" s="354"/>
      <c r="F403" s="354"/>
      <c r="G403" s="354"/>
      <c r="H403" s="354"/>
      <c r="I403" s="354"/>
    </row>
    <row r="404" spans="2:9" x14ac:dyDescent="0.25">
      <c r="B404" s="354"/>
      <c r="C404" s="354"/>
      <c r="D404" s="354"/>
      <c r="E404" s="354"/>
      <c r="F404" s="354"/>
      <c r="G404" s="354"/>
      <c r="H404" s="354"/>
      <c r="I404" s="354"/>
    </row>
    <row r="405" spans="2:9" x14ac:dyDescent="0.25">
      <c r="B405" s="354"/>
      <c r="C405" s="354"/>
      <c r="D405" s="354"/>
      <c r="E405" s="354"/>
      <c r="F405" s="354"/>
      <c r="G405" s="354"/>
      <c r="H405" s="354"/>
      <c r="I405" s="354"/>
    </row>
    <row r="406" spans="2:9" x14ac:dyDescent="0.25">
      <c r="B406" s="354"/>
      <c r="C406" s="354"/>
      <c r="D406" s="354"/>
      <c r="E406" s="354"/>
      <c r="F406" s="354"/>
      <c r="G406" s="354"/>
      <c r="H406" s="354"/>
      <c r="I406" s="354"/>
    </row>
    <row r="407" spans="2:9" x14ac:dyDescent="0.25">
      <c r="B407" s="354"/>
      <c r="C407" s="354"/>
      <c r="D407" s="354"/>
      <c r="E407" s="354"/>
      <c r="F407" s="354"/>
      <c r="G407" s="354"/>
      <c r="H407" s="354"/>
      <c r="I407" s="354"/>
    </row>
    <row r="408" spans="2:9" x14ac:dyDescent="0.25">
      <c r="B408" s="354"/>
      <c r="C408" s="354"/>
      <c r="D408" s="354"/>
      <c r="E408" s="354"/>
      <c r="F408" s="354"/>
      <c r="G408" s="354"/>
      <c r="H408" s="354"/>
      <c r="I408" s="354"/>
    </row>
    <row r="409" spans="2:9" x14ac:dyDescent="0.25">
      <c r="B409" s="354"/>
      <c r="C409" s="354"/>
      <c r="D409" s="354"/>
      <c r="E409" s="354"/>
      <c r="F409" s="354"/>
      <c r="G409" s="354"/>
      <c r="H409" s="354"/>
      <c r="I409" s="354"/>
    </row>
    <row r="410" spans="2:9" x14ac:dyDescent="0.25">
      <c r="B410" s="354"/>
      <c r="C410" s="354"/>
      <c r="D410" s="354"/>
      <c r="E410" s="354"/>
      <c r="F410" s="354"/>
      <c r="G410" s="354"/>
      <c r="H410" s="354"/>
      <c r="I410" s="354"/>
    </row>
    <row r="411" spans="2:9" x14ac:dyDescent="0.25">
      <c r="B411" s="354"/>
      <c r="C411" s="354"/>
      <c r="D411" s="354"/>
      <c r="E411" s="354"/>
      <c r="F411" s="354"/>
      <c r="G411" s="354"/>
      <c r="H411" s="354"/>
      <c r="I411" s="354"/>
    </row>
    <row r="412" spans="2:9" x14ac:dyDescent="0.25">
      <c r="B412" s="354"/>
      <c r="C412" s="354"/>
      <c r="D412" s="354"/>
      <c r="E412" s="354"/>
      <c r="F412" s="354"/>
      <c r="G412" s="354"/>
      <c r="H412" s="354"/>
      <c r="I412" s="354"/>
    </row>
    <row r="413" spans="2:9" x14ac:dyDescent="0.25">
      <c r="B413" s="354"/>
      <c r="C413" s="354"/>
      <c r="D413" s="354"/>
      <c r="E413" s="354"/>
      <c r="F413" s="354"/>
      <c r="G413" s="354"/>
      <c r="H413" s="354"/>
      <c r="I413" s="354"/>
    </row>
    <row r="414" spans="2:9" x14ac:dyDescent="0.25">
      <c r="B414" s="354"/>
      <c r="C414" s="354"/>
      <c r="D414" s="354"/>
      <c r="E414" s="354"/>
      <c r="F414" s="354"/>
      <c r="G414" s="354"/>
      <c r="H414" s="354"/>
      <c r="I414" s="354"/>
    </row>
    <row r="415" spans="2:9" x14ac:dyDescent="0.25">
      <c r="B415" s="354"/>
      <c r="C415" s="354"/>
      <c r="D415" s="354"/>
      <c r="E415" s="354"/>
      <c r="F415" s="354"/>
      <c r="G415" s="354"/>
      <c r="H415" s="354"/>
      <c r="I415" s="354"/>
    </row>
    <row r="416" spans="2:9" x14ac:dyDescent="0.25">
      <c r="B416" s="354"/>
      <c r="C416" s="354"/>
      <c r="D416" s="354"/>
      <c r="E416" s="354"/>
      <c r="F416" s="354"/>
      <c r="G416" s="354"/>
      <c r="H416" s="354"/>
      <c r="I416" s="354"/>
    </row>
    <row r="417" spans="2:9" x14ac:dyDescent="0.25">
      <c r="B417" s="354"/>
      <c r="C417" s="354"/>
      <c r="D417" s="354"/>
      <c r="E417" s="354"/>
      <c r="F417" s="354"/>
      <c r="G417" s="354"/>
      <c r="H417" s="354"/>
      <c r="I417" s="354"/>
    </row>
    <row r="418" spans="2:9" x14ac:dyDescent="0.25">
      <c r="B418" s="354"/>
      <c r="C418" s="354"/>
      <c r="D418" s="354"/>
      <c r="E418" s="354"/>
      <c r="F418" s="354"/>
      <c r="G418" s="354"/>
      <c r="H418" s="354"/>
      <c r="I418" s="354"/>
    </row>
    <row r="419" spans="2:9" x14ac:dyDescent="0.25">
      <c r="B419" s="354"/>
      <c r="C419" s="354"/>
      <c r="D419" s="354"/>
      <c r="E419" s="354"/>
      <c r="F419" s="354"/>
      <c r="G419" s="354"/>
      <c r="H419" s="354"/>
      <c r="I419" s="354"/>
    </row>
    <row r="420" spans="2:9" x14ac:dyDescent="0.25">
      <c r="B420" s="354"/>
      <c r="C420" s="354"/>
      <c r="D420" s="354"/>
      <c r="E420" s="354"/>
      <c r="F420" s="354"/>
      <c r="G420" s="354"/>
      <c r="H420" s="354"/>
      <c r="I420" s="354"/>
    </row>
    <row r="421" spans="2:9" x14ac:dyDescent="0.25">
      <c r="B421" s="354"/>
      <c r="C421" s="354"/>
      <c r="D421" s="354"/>
      <c r="E421" s="354"/>
      <c r="F421" s="354"/>
      <c r="G421" s="354"/>
      <c r="H421" s="354"/>
      <c r="I421" s="354"/>
    </row>
    <row r="422" spans="2:9" x14ac:dyDescent="0.25">
      <c r="B422" s="354"/>
      <c r="C422" s="354"/>
      <c r="D422" s="354"/>
      <c r="E422" s="354"/>
      <c r="F422" s="354"/>
      <c r="G422" s="354"/>
      <c r="H422" s="354"/>
      <c r="I422" s="354"/>
    </row>
    <row r="423" spans="2:9" x14ac:dyDescent="0.25">
      <c r="B423" s="354"/>
      <c r="C423" s="354"/>
      <c r="D423" s="354"/>
      <c r="E423" s="354"/>
      <c r="F423" s="354"/>
      <c r="G423" s="354"/>
      <c r="H423" s="354"/>
      <c r="I423" s="354"/>
    </row>
    <row r="424" spans="2:9" x14ac:dyDescent="0.25">
      <c r="B424" s="354"/>
      <c r="C424" s="354"/>
      <c r="D424" s="354"/>
      <c r="E424" s="354"/>
      <c r="F424" s="354"/>
      <c r="G424" s="354"/>
      <c r="H424" s="354"/>
      <c r="I424" s="354"/>
    </row>
    <row r="425" spans="2:9" x14ac:dyDescent="0.25">
      <c r="B425" s="354"/>
      <c r="C425" s="354"/>
      <c r="D425" s="354"/>
      <c r="E425" s="354"/>
      <c r="F425" s="354"/>
      <c r="G425" s="354"/>
      <c r="H425" s="354"/>
      <c r="I425" s="354"/>
    </row>
    <row r="426" spans="2:9" x14ac:dyDescent="0.25">
      <c r="B426" s="354"/>
      <c r="C426" s="354"/>
      <c r="D426" s="354"/>
      <c r="E426" s="354"/>
      <c r="F426" s="354"/>
      <c r="G426" s="354"/>
      <c r="H426" s="354"/>
      <c r="I426" s="354"/>
    </row>
    <row r="427" spans="2:9" x14ac:dyDescent="0.25">
      <c r="B427" s="354"/>
      <c r="C427" s="354"/>
      <c r="D427" s="354"/>
      <c r="E427" s="354"/>
      <c r="F427" s="354"/>
      <c r="G427" s="354"/>
      <c r="H427" s="354"/>
      <c r="I427" s="354"/>
    </row>
    <row r="428" spans="2:9" x14ac:dyDescent="0.25">
      <c r="B428" s="354"/>
      <c r="C428" s="354"/>
      <c r="D428" s="354"/>
      <c r="E428" s="354"/>
      <c r="F428" s="354"/>
      <c r="G428" s="354"/>
      <c r="H428" s="354"/>
      <c r="I428" s="354"/>
    </row>
    <row r="429" spans="2:9" x14ac:dyDescent="0.25">
      <c r="B429" s="354"/>
      <c r="C429" s="354"/>
      <c r="D429" s="354"/>
      <c r="E429" s="354"/>
      <c r="F429" s="354"/>
      <c r="G429" s="354"/>
      <c r="H429" s="354"/>
      <c r="I429" s="354"/>
    </row>
    <row r="430" spans="2:9" x14ac:dyDescent="0.25">
      <c r="B430" s="354"/>
      <c r="C430" s="354"/>
      <c r="D430" s="354"/>
      <c r="E430" s="354"/>
      <c r="F430" s="354"/>
      <c r="G430" s="354"/>
      <c r="H430" s="354"/>
      <c r="I430" s="354"/>
    </row>
    <row r="431" spans="2:9" x14ac:dyDescent="0.25">
      <c r="B431" s="354"/>
      <c r="C431" s="354"/>
      <c r="D431" s="354"/>
      <c r="E431" s="354"/>
      <c r="F431" s="354"/>
      <c r="G431" s="354"/>
      <c r="H431" s="354"/>
      <c r="I431" s="354"/>
    </row>
    <row r="432" spans="2:9" x14ac:dyDescent="0.25">
      <c r="B432" s="354"/>
      <c r="C432" s="354"/>
      <c r="D432" s="354"/>
      <c r="E432" s="354"/>
      <c r="F432" s="354"/>
      <c r="G432" s="354"/>
      <c r="H432" s="354"/>
      <c r="I432" s="354"/>
    </row>
    <row r="433" spans="2:9" x14ac:dyDescent="0.25">
      <c r="B433" s="354"/>
      <c r="C433" s="354"/>
      <c r="D433" s="354"/>
      <c r="E433" s="354"/>
      <c r="F433" s="354"/>
      <c r="G433" s="354"/>
      <c r="H433" s="354"/>
      <c r="I433" s="354"/>
    </row>
    <row r="434" spans="2:9" x14ac:dyDescent="0.25">
      <c r="B434" s="354"/>
      <c r="C434" s="354"/>
      <c r="D434" s="354"/>
      <c r="E434" s="354"/>
      <c r="F434" s="354"/>
      <c r="G434" s="354"/>
      <c r="H434" s="354"/>
      <c r="I434" s="354"/>
    </row>
    <row r="435" spans="2:9" x14ac:dyDescent="0.25">
      <c r="B435" s="354"/>
      <c r="C435" s="354"/>
      <c r="D435" s="354"/>
      <c r="E435" s="354"/>
      <c r="F435" s="354"/>
      <c r="G435" s="354"/>
      <c r="H435" s="354"/>
      <c r="I435" s="354"/>
    </row>
    <row r="436" spans="2:9" x14ac:dyDescent="0.25">
      <c r="B436" s="354"/>
      <c r="C436" s="354"/>
      <c r="D436" s="354"/>
      <c r="E436" s="354"/>
      <c r="F436" s="354"/>
      <c r="G436" s="354"/>
      <c r="H436" s="354"/>
      <c r="I436" s="354"/>
    </row>
    <row r="437" spans="2:9" x14ac:dyDescent="0.25">
      <c r="B437" s="354"/>
      <c r="C437" s="354"/>
      <c r="D437" s="354"/>
      <c r="E437" s="354"/>
      <c r="F437" s="354"/>
      <c r="G437" s="354"/>
      <c r="H437" s="354"/>
      <c r="I437" s="354"/>
    </row>
    <row r="438" spans="2:9" x14ac:dyDescent="0.25">
      <c r="B438" s="354"/>
      <c r="C438" s="354"/>
      <c r="D438" s="354"/>
      <c r="E438" s="354"/>
      <c r="F438" s="354"/>
      <c r="G438" s="354"/>
      <c r="H438" s="354"/>
      <c r="I438" s="354"/>
    </row>
    <row r="439" spans="2:9" x14ac:dyDescent="0.25">
      <c r="B439" s="354"/>
      <c r="C439" s="354"/>
      <c r="D439" s="354"/>
      <c r="E439" s="354"/>
      <c r="F439" s="354"/>
      <c r="G439" s="354"/>
      <c r="H439" s="354"/>
      <c r="I439" s="354"/>
    </row>
    <row r="440" spans="2:9" x14ac:dyDescent="0.25">
      <c r="B440" s="354"/>
      <c r="C440" s="354"/>
      <c r="D440" s="354"/>
      <c r="E440" s="354"/>
      <c r="F440" s="354"/>
      <c r="G440" s="354"/>
      <c r="H440" s="354"/>
      <c r="I440" s="354"/>
    </row>
    <row r="441" spans="2:9" x14ac:dyDescent="0.25">
      <c r="B441" s="354"/>
      <c r="C441" s="354"/>
      <c r="D441" s="354"/>
      <c r="E441" s="354"/>
      <c r="F441" s="354"/>
      <c r="G441" s="354"/>
      <c r="H441" s="354"/>
      <c r="I441" s="354"/>
    </row>
    <row r="442" spans="2:9" x14ac:dyDescent="0.25">
      <c r="B442" s="354"/>
      <c r="C442" s="354"/>
      <c r="D442" s="354"/>
      <c r="E442" s="354"/>
      <c r="F442" s="354"/>
      <c r="G442" s="354"/>
      <c r="H442" s="354"/>
      <c r="I442" s="354"/>
    </row>
    <row r="443" spans="2:9" x14ac:dyDescent="0.25">
      <c r="B443" s="354"/>
      <c r="C443" s="354"/>
      <c r="D443" s="354"/>
      <c r="E443" s="354"/>
      <c r="F443" s="354"/>
      <c r="G443" s="354"/>
      <c r="H443" s="354"/>
      <c r="I443" s="354"/>
    </row>
    <row r="444" spans="2:9" x14ac:dyDescent="0.25">
      <c r="B444" s="354"/>
      <c r="C444" s="354"/>
      <c r="D444" s="354"/>
      <c r="E444" s="354"/>
      <c r="F444" s="354"/>
      <c r="G444" s="354"/>
      <c r="H444" s="354"/>
      <c r="I444" s="354"/>
    </row>
    <row r="445" spans="2:9" x14ac:dyDescent="0.25">
      <c r="B445" s="354"/>
      <c r="C445" s="354"/>
      <c r="D445" s="354"/>
      <c r="E445" s="354"/>
      <c r="F445" s="354"/>
      <c r="G445" s="354"/>
      <c r="H445" s="354"/>
      <c r="I445" s="354"/>
    </row>
    <row r="446" spans="2:9" x14ac:dyDescent="0.25">
      <c r="B446" s="354"/>
      <c r="C446" s="354"/>
      <c r="D446" s="354"/>
      <c r="E446" s="354"/>
      <c r="F446" s="354"/>
      <c r="G446" s="354"/>
      <c r="H446" s="354"/>
      <c r="I446" s="354"/>
    </row>
    <row r="447" spans="2:9" x14ac:dyDescent="0.25">
      <c r="B447" s="354"/>
      <c r="C447" s="354"/>
      <c r="D447" s="354"/>
      <c r="E447" s="354"/>
      <c r="F447" s="354"/>
      <c r="G447" s="354"/>
      <c r="H447" s="354"/>
      <c r="I447" s="354"/>
    </row>
    <row r="448" spans="2:9" x14ac:dyDescent="0.25">
      <c r="B448" s="354"/>
      <c r="C448" s="354"/>
      <c r="D448" s="354"/>
      <c r="E448" s="354"/>
      <c r="F448" s="354"/>
      <c r="G448" s="354"/>
      <c r="H448" s="354"/>
      <c r="I448" s="354"/>
    </row>
    <row r="449" spans="2:9" x14ac:dyDescent="0.25">
      <c r="B449" s="354"/>
      <c r="C449" s="354"/>
      <c r="D449" s="354"/>
      <c r="E449" s="354"/>
      <c r="F449" s="354"/>
      <c r="G449" s="354"/>
      <c r="H449" s="354"/>
      <c r="I449" s="354"/>
    </row>
    <row r="450" spans="2:9" x14ac:dyDescent="0.25">
      <c r="B450" s="354"/>
      <c r="C450" s="354"/>
      <c r="D450" s="354"/>
      <c r="E450" s="354"/>
      <c r="F450" s="354"/>
      <c r="G450" s="354"/>
      <c r="H450" s="354"/>
      <c r="I450" s="354"/>
    </row>
    <row r="451" spans="2:9" x14ac:dyDescent="0.25">
      <c r="B451" s="354"/>
      <c r="C451" s="354"/>
      <c r="D451" s="354"/>
      <c r="E451" s="354"/>
      <c r="F451" s="354"/>
      <c r="G451" s="354"/>
      <c r="H451" s="354"/>
      <c r="I451" s="354"/>
    </row>
    <row r="452" spans="2:9" x14ac:dyDescent="0.25">
      <c r="B452" s="354"/>
      <c r="C452" s="354"/>
      <c r="D452" s="354"/>
      <c r="E452" s="354"/>
      <c r="F452" s="354"/>
      <c r="G452" s="354"/>
      <c r="H452" s="354"/>
      <c r="I452" s="354"/>
    </row>
    <row r="453" spans="2:9" x14ac:dyDescent="0.25">
      <c r="B453" s="354"/>
      <c r="C453" s="354"/>
      <c r="D453" s="354"/>
      <c r="E453" s="354"/>
      <c r="F453" s="354"/>
      <c r="G453" s="354"/>
      <c r="H453" s="354"/>
      <c r="I453" s="354"/>
    </row>
    <row r="454" spans="2:9" x14ac:dyDescent="0.25">
      <c r="B454" s="354"/>
      <c r="C454" s="354"/>
      <c r="D454" s="354"/>
      <c r="E454" s="354"/>
      <c r="F454" s="354"/>
      <c r="G454" s="354"/>
      <c r="H454" s="354"/>
      <c r="I454" s="354"/>
    </row>
    <row r="455" spans="2:9" x14ac:dyDescent="0.25">
      <c r="B455" s="354"/>
      <c r="C455" s="354"/>
      <c r="D455" s="354"/>
      <c r="E455" s="354"/>
      <c r="F455" s="354"/>
      <c r="G455" s="354"/>
      <c r="H455" s="354"/>
      <c r="I455" s="354"/>
    </row>
    <row r="469" spans="11:15" x14ac:dyDescent="0.25">
      <c r="K469" s="368"/>
      <c r="L469" s="368"/>
      <c r="M469" s="368"/>
      <c r="N469" s="368"/>
      <c r="O469" s="368"/>
    </row>
    <row r="507" spans="4:8" ht="16.5" thickBot="1" x14ac:dyDescent="0.3"/>
    <row r="508" spans="4:8" x14ac:dyDescent="0.25">
      <c r="D508" s="362" t="s">
        <v>247</v>
      </c>
      <c r="E508" s="362" t="s">
        <v>207</v>
      </c>
      <c r="F508" s="362" t="s">
        <v>208</v>
      </c>
      <c r="G508" s="362" t="s">
        <v>209</v>
      </c>
      <c r="H508" s="362" t="s">
        <v>211</v>
      </c>
    </row>
    <row r="509" spans="4:8" x14ac:dyDescent="0.25">
      <c r="D509" s="871" t="s">
        <v>739</v>
      </c>
      <c r="E509" s="408">
        <v>45315</v>
      </c>
      <c r="F509" s="388">
        <v>387</v>
      </c>
      <c r="G509" s="385" t="s">
        <v>740</v>
      </c>
      <c r="H509" s="591">
        <v>7883</v>
      </c>
    </row>
    <row r="510" spans="4:8" x14ac:dyDescent="0.25">
      <c r="D510" s="591" t="s">
        <v>739</v>
      </c>
      <c r="E510" s="408">
        <v>45330</v>
      </c>
      <c r="F510" s="388">
        <v>413</v>
      </c>
      <c r="G510" s="385" t="s">
        <v>740</v>
      </c>
      <c r="H510" s="591">
        <v>7480</v>
      </c>
    </row>
    <row r="511" spans="4:8" x14ac:dyDescent="0.25">
      <c r="D511" s="591" t="s">
        <v>171</v>
      </c>
      <c r="E511" s="408">
        <v>45331</v>
      </c>
      <c r="F511" s="388">
        <v>100</v>
      </c>
      <c r="G511" s="385">
        <v>6339.8</v>
      </c>
      <c r="H511" s="591">
        <v>7494</v>
      </c>
    </row>
    <row r="512" spans="4:8" x14ac:dyDescent="0.25">
      <c r="D512" s="591" t="s">
        <v>739</v>
      </c>
      <c r="E512" s="408">
        <v>45335</v>
      </c>
      <c r="F512" s="388">
        <v>217</v>
      </c>
      <c r="G512" s="385">
        <v>0</v>
      </c>
      <c r="H512" s="591">
        <v>8102</v>
      </c>
    </row>
    <row r="513" spans="2:10" x14ac:dyDescent="0.25">
      <c r="D513" s="591" t="s">
        <v>82</v>
      </c>
      <c r="E513" s="408">
        <v>45335</v>
      </c>
      <c r="F513" s="388">
        <v>60</v>
      </c>
      <c r="G513" s="385">
        <v>417067</v>
      </c>
      <c r="H513" s="591">
        <v>8110</v>
      </c>
    </row>
    <row r="514" spans="2:10" x14ac:dyDescent="0.25">
      <c r="D514" s="591" t="s">
        <v>739</v>
      </c>
      <c r="E514" s="408">
        <v>45337</v>
      </c>
      <c r="F514" s="388">
        <v>156</v>
      </c>
      <c r="G514" s="385">
        <v>0</v>
      </c>
      <c r="H514" s="591">
        <v>8141</v>
      </c>
    </row>
    <row r="515" spans="2:10" x14ac:dyDescent="0.25">
      <c r="D515" s="591" t="s">
        <v>741</v>
      </c>
      <c r="E515" s="408">
        <v>45342</v>
      </c>
      <c r="F515" s="388">
        <v>140</v>
      </c>
      <c r="G515" s="385">
        <v>6422.1</v>
      </c>
      <c r="H515" s="789"/>
    </row>
    <row r="516" spans="2:10" x14ac:dyDescent="0.25">
      <c r="D516" s="591" t="s">
        <v>741</v>
      </c>
      <c r="E516" s="408">
        <v>45342</v>
      </c>
      <c r="F516" s="388">
        <v>174</v>
      </c>
      <c r="G516" s="385">
        <v>70175</v>
      </c>
      <c r="H516" s="385"/>
    </row>
    <row r="517" spans="2:10" x14ac:dyDescent="0.25">
      <c r="D517" s="591" t="s">
        <v>400</v>
      </c>
      <c r="E517" s="408">
        <v>45342</v>
      </c>
      <c r="F517" s="388">
        <v>256</v>
      </c>
      <c r="G517" s="385">
        <v>0</v>
      </c>
      <c r="H517" s="385"/>
    </row>
    <row r="518" spans="2:10" x14ac:dyDescent="0.25">
      <c r="D518" s="591" t="s">
        <v>400</v>
      </c>
      <c r="E518" s="408">
        <v>45348</v>
      </c>
      <c r="F518" s="388">
        <v>407</v>
      </c>
      <c r="G518" s="385">
        <v>0</v>
      </c>
      <c r="H518" s="591">
        <v>8420</v>
      </c>
    </row>
    <row r="519" spans="2:10" x14ac:dyDescent="0.25">
      <c r="D519" s="591" t="s">
        <v>400</v>
      </c>
      <c r="E519" s="408">
        <v>45353</v>
      </c>
      <c r="F519" s="388">
        <v>416</v>
      </c>
      <c r="G519" s="385">
        <v>0</v>
      </c>
      <c r="H519" s="591">
        <v>8086</v>
      </c>
    </row>
    <row r="520" spans="2:10" x14ac:dyDescent="0.25">
      <c r="B520" s="348" t="s">
        <v>742</v>
      </c>
      <c r="D520" s="872" t="s">
        <v>171</v>
      </c>
      <c r="E520" s="408">
        <v>45353</v>
      </c>
      <c r="F520" s="388">
        <v>79</v>
      </c>
      <c r="G520" s="385">
        <v>6467.3</v>
      </c>
      <c r="H520" s="591">
        <v>8087</v>
      </c>
      <c r="I520" s="368"/>
      <c r="J520" s="368"/>
    </row>
    <row r="521" spans="2:10" x14ac:dyDescent="0.25">
      <c r="B521" s="348" t="s">
        <v>743</v>
      </c>
      <c r="D521" s="872" t="s">
        <v>744</v>
      </c>
      <c r="E521" s="408">
        <v>45353</v>
      </c>
      <c r="F521" s="388">
        <v>185</v>
      </c>
      <c r="G521" s="385">
        <v>21175</v>
      </c>
      <c r="H521" s="591">
        <v>8088</v>
      </c>
    </row>
    <row r="522" spans="2:10" x14ac:dyDescent="0.25">
      <c r="D522" s="872" t="s">
        <v>65</v>
      </c>
      <c r="E522" s="408">
        <v>45357</v>
      </c>
      <c r="F522" s="388">
        <v>193</v>
      </c>
      <c r="G522" s="385">
        <v>20533.099999999999</v>
      </c>
      <c r="H522" s="591">
        <v>8366</v>
      </c>
    </row>
    <row r="523" spans="2:10" x14ac:dyDescent="0.25">
      <c r="D523" s="591" t="s">
        <v>171</v>
      </c>
      <c r="E523" s="408">
        <v>45357</v>
      </c>
      <c r="F523" s="388">
        <v>125</v>
      </c>
      <c r="G523" s="385">
        <v>6467.7</v>
      </c>
      <c r="H523" s="591">
        <v>8367</v>
      </c>
    </row>
    <row r="524" spans="2:10" x14ac:dyDescent="0.25">
      <c r="D524" s="591" t="s">
        <v>745</v>
      </c>
      <c r="E524" s="408">
        <v>45357</v>
      </c>
      <c r="F524" s="388">
        <v>60</v>
      </c>
      <c r="G524" s="385">
        <v>5863.2</v>
      </c>
      <c r="H524" s="591">
        <v>8368</v>
      </c>
    </row>
    <row r="525" spans="2:10" x14ac:dyDescent="0.25">
      <c r="D525" s="591" t="s">
        <v>746</v>
      </c>
      <c r="E525" s="408">
        <v>45357</v>
      </c>
      <c r="F525" s="385">
        <v>20</v>
      </c>
      <c r="G525" s="385"/>
      <c r="H525" s="591">
        <v>8369</v>
      </c>
    </row>
    <row r="526" spans="2:10" x14ac:dyDescent="0.25">
      <c r="D526" s="591" t="s">
        <v>747</v>
      </c>
      <c r="E526" s="408">
        <v>45357</v>
      </c>
      <c r="F526" s="385">
        <v>50</v>
      </c>
      <c r="G526" s="385"/>
      <c r="H526" s="591">
        <v>8370</v>
      </c>
    </row>
    <row r="527" spans="2:10" x14ac:dyDescent="0.25">
      <c r="D527" s="591" t="s">
        <v>748</v>
      </c>
      <c r="E527" s="408">
        <v>45357</v>
      </c>
      <c r="F527" s="385">
        <v>55</v>
      </c>
      <c r="G527" s="385"/>
      <c r="H527" s="591">
        <v>8371</v>
      </c>
    </row>
    <row r="528" spans="2:10" x14ac:dyDescent="0.25">
      <c r="D528" s="591" t="s">
        <v>394</v>
      </c>
      <c r="E528" s="408">
        <v>45357</v>
      </c>
      <c r="F528" s="385">
        <v>347</v>
      </c>
      <c r="G528" s="385"/>
      <c r="H528" s="591">
        <v>8372</v>
      </c>
    </row>
    <row r="529" spans="4:8" x14ac:dyDescent="0.25">
      <c r="D529" s="591" t="s">
        <v>749</v>
      </c>
      <c r="E529" s="408">
        <v>45362</v>
      </c>
      <c r="F529" s="388">
        <v>205</v>
      </c>
      <c r="G529" s="385"/>
      <c r="H529" s="591">
        <v>5051</v>
      </c>
    </row>
    <row r="530" spans="4:8" x14ac:dyDescent="0.25">
      <c r="D530" s="591" t="s">
        <v>745</v>
      </c>
      <c r="E530" s="408">
        <v>45362</v>
      </c>
      <c r="F530" s="385">
        <v>42</v>
      </c>
      <c r="G530" s="385"/>
      <c r="H530" s="591">
        <v>5052</v>
      </c>
    </row>
    <row r="531" spans="4:8" x14ac:dyDescent="0.25">
      <c r="D531" s="591" t="s">
        <v>750</v>
      </c>
      <c r="E531" s="408">
        <v>45362</v>
      </c>
      <c r="F531" s="385">
        <v>89</v>
      </c>
      <c r="G531" s="385"/>
      <c r="H531" s="591">
        <v>5053</v>
      </c>
    </row>
    <row r="532" spans="4:8" x14ac:dyDescent="0.25">
      <c r="D532" s="591" t="s">
        <v>751</v>
      </c>
      <c r="E532" s="408">
        <v>45362</v>
      </c>
      <c r="F532" s="385">
        <v>300</v>
      </c>
      <c r="G532" s="385"/>
      <c r="H532" s="591">
        <v>5054</v>
      </c>
    </row>
    <row r="533" spans="4:8" x14ac:dyDescent="0.25">
      <c r="D533" s="591" t="s">
        <v>752</v>
      </c>
      <c r="E533" s="408">
        <v>45366</v>
      </c>
      <c r="F533" s="388">
        <v>27</v>
      </c>
      <c r="G533" s="385"/>
      <c r="H533" s="591">
        <v>5100</v>
      </c>
    </row>
    <row r="534" spans="4:8" x14ac:dyDescent="0.25">
      <c r="D534" s="591" t="s">
        <v>753</v>
      </c>
      <c r="E534" s="408">
        <v>45366</v>
      </c>
      <c r="F534" s="385">
        <v>45</v>
      </c>
      <c r="G534" s="385"/>
      <c r="H534" s="591">
        <v>5100</v>
      </c>
    </row>
    <row r="535" spans="4:8" x14ac:dyDescent="0.25">
      <c r="D535" s="591" t="s">
        <v>143</v>
      </c>
      <c r="E535" s="408">
        <v>45366</v>
      </c>
      <c r="F535" s="385">
        <v>48</v>
      </c>
      <c r="G535" s="385"/>
      <c r="H535" s="591">
        <v>5151</v>
      </c>
    </row>
    <row r="536" spans="4:8" x14ac:dyDescent="0.25">
      <c r="D536" s="591" t="s">
        <v>394</v>
      </c>
      <c r="E536" s="408">
        <v>45366</v>
      </c>
      <c r="F536" s="385">
        <v>308</v>
      </c>
      <c r="G536" s="385"/>
      <c r="H536" s="591">
        <v>5153</v>
      </c>
    </row>
    <row r="537" spans="4:8" x14ac:dyDescent="0.25">
      <c r="D537" s="591" t="s">
        <v>754</v>
      </c>
      <c r="E537" s="408">
        <v>45366</v>
      </c>
      <c r="F537" s="385">
        <v>22</v>
      </c>
      <c r="G537" s="385"/>
      <c r="H537" s="591">
        <v>5154</v>
      </c>
    </row>
    <row r="538" spans="4:8" x14ac:dyDescent="0.25">
      <c r="D538" s="591" t="s">
        <v>394</v>
      </c>
      <c r="E538" s="408">
        <v>45376</v>
      </c>
      <c r="F538" s="385">
        <v>445</v>
      </c>
      <c r="G538" s="385"/>
      <c r="H538" s="591">
        <v>7781</v>
      </c>
    </row>
    <row r="539" spans="4:8" x14ac:dyDescent="0.25">
      <c r="D539" s="591" t="s">
        <v>755</v>
      </c>
      <c r="E539" s="408">
        <v>45376</v>
      </c>
      <c r="F539" s="385">
        <v>47</v>
      </c>
      <c r="G539" s="385">
        <v>50742</v>
      </c>
      <c r="H539" s="591">
        <v>7782</v>
      </c>
    </row>
    <row r="540" spans="4:8" x14ac:dyDescent="0.25">
      <c r="D540" s="591" t="s">
        <v>756</v>
      </c>
      <c r="E540" s="408">
        <v>45380</v>
      </c>
      <c r="F540" s="385">
        <v>56</v>
      </c>
      <c r="G540" s="385">
        <v>7537</v>
      </c>
      <c r="H540" s="591">
        <v>8474</v>
      </c>
    </row>
    <row r="541" spans="4:8" x14ac:dyDescent="0.25">
      <c r="D541" s="591" t="s">
        <v>757</v>
      </c>
      <c r="E541" s="408">
        <v>45380</v>
      </c>
      <c r="F541" s="385">
        <v>87</v>
      </c>
      <c r="G541" s="385">
        <v>9818.4</v>
      </c>
      <c r="H541" s="591">
        <v>8475</v>
      </c>
    </row>
    <row r="542" spans="4:8" x14ac:dyDescent="0.25">
      <c r="D542" s="591" t="s">
        <v>89</v>
      </c>
      <c r="E542" s="408">
        <v>45380</v>
      </c>
      <c r="F542" s="385">
        <v>71</v>
      </c>
      <c r="G542" s="385">
        <v>2160.6</v>
      </c>
      <c r="H542" s="591">
        <v>8476</v>
      </c>
    </row>
    <row r="543" spans="4:8" x14ac:dyDescent="0.25">
      <c r="D543" s="591" t="s">
        <v>758</v>
      </c>
      <c r="E543" s="408">
        <v>45380</v>
      </c>
      <c r="F543" s="385">
        <v>55</v>
      </c>
      <c r="G543" s="385">
        <v>5099.2</v>
      </c>
      <c r="H543" s="591">
        <v>8477</v>
      </c>
    </row>
    <row r="544" spans="4:8" x14ac:dyDescent="0.25">
      <c r="D544" s="591" t="s">
        <v>759</v>
      </c>
      <c r="E544" s="408">
        <v>45380</v>
      </c>
      <c r="F544" s="385">
        <v>70</v>
      </c>
      <c r="G544" s="385">
        <v>0</v>
      </c>
      <c r="H544" s="591">
        <v>8478</v>
      </c>
    </row>
    <row r="545" spans="4:8" x14ac:dyDescent="0.25">
      <c r="D545" s="591" t="s">
        <v>760</v>
      </c>
      <c r="E545" s="408">
        <v>45380</v>
      </c>
      <c r="F545" s="385">
        <v>94</v>
      </c>
      <c r="G545" s="385">
        <v>6515.2</v>
      </c>
      <c r="H545" s="591">
        <v>8479</v>
      </c>
    </row>
    <row r="546" spans="4:8" x14ac:dyDescent="0.25">
      <c r="D546" s="591" t="s">
        <v>761</v>
      </c>
      <c r="E546" s="408">
        <v>45380</v>
      </c>
      <c r="F546" s="385">
        <v>63</v>
      </c>
      <c r="G546" s="385">
        <v>7043</v>
      </c>
      <c r="H546" s="591">
        <v>8480</v>
      </c>
    </row>
    <row r="547" spans="4:8" x14ac:dyDescent="0.25">
      <c r="D547" s="591" t="s">
        <v>394</v>
      </c>
      <c r="E547" s="552">
        <v>45380</v>
      </c>
      <c r="F547" s="385">
        <v>300</v>
      </c>
      <c r="G547" s="385">
        <v>0</v>
      </c>
      <c r="H547" s="591">
        <v>8481</v>
      </c>
    </row>
    <row r="548" spans="4:8" x14ac:dyDescent="0.25">
      <c r="D548" s="591" t="s">
        <v>762</v>
      </c>
      <c r="E548" s="552">
        <v>45387</v>
      </c>
      <c r="F548" s="385">
        <v>40</v>
      </c>
      <c r="G548" s="385"/>
      <c r="H548" s="591">
        <v>8747</v>
      </c>
    </row>
    <row r="549" spans="4:8" x14ac:dyDescent="0.25">
      <c r="D549" s="591" t="s">
        <v>763</v>
      </c>
      <c r="E549" s="552">
        <v>45390</v>
      </c>
      <c r="F549" s="385">
        <v>64</v>
      </c>
      <c r="G549" s="385">
        <v>7537</v>
      </c>
      <c r="H549" s="591">
        <v>8337</v>
      </c>
    </row>
    <row r="550" spans="4:8" x14ac:dyDescent="0.25">
      <c r="D550" s="591" t="s">
        <v>394</v>
      </c>
      <c r="E550" s="552">
        <v>45390</v>
      </c>
      <c r="F550" s="385">
        <v>408</v>
      </c>
      <c r="G550" s="385"/>
      <c r="H550" s="591">
        <v>8338</v>
      </c>
    </row>
    <row r="551" spans="4:8" x14ac:dyDescent="0.25">
      <c r="D551" s="873" t="s">
        <v>394</v>
      </c>
      <c r="E551" s="552">
        <v>45394</v>
      </c>
      <c r="F551" s="385">
        <v>257</v>
      </c>
      <c r="G551" s="385"/>
      <c r="H551" s="873">
        <v>5340</v>
      </c>
    </row>
    <row r="552" spans="4:8" x14ac:dyDescent="0.25">
      <c r="D552" s="591" t="s">
        <v>764</v>
      </c>
      <c r="E552" s="552">
        <v>45399</v>
      </c>
      <c r="F552" s="385">
        <v>90</v>
      </c>
      <c r="G552" s="385">
        <v>1563</v>
      </c>
      <c r="H552" s="591">
        <v>5387</v>
      </c>
    </row>
    <row r="553" spans="4:8" x14ac:dyDescent="0.25">
      <c r="D553" s="591" t="s">
        <v>394</v>
      </c>
      <c r="E553" s="552">
        <v>45399</v>
      </c>
      <c r="F553" s="385">
        <v>424</v>
      </c>
      <c r="G553" s="385"/>
      <c r="H553" s="591">
        <v>5390</v>
      </c>
    </row>
    <row r="554" spans="4:8" x14ac:dyDescent="0.25">
      <c r="D554" s="591" t="s">
        <v>765</v>
      </c>
      <c r="E554" s="552">
        <v>45399</v>
      </c>
      <c r="F554" s="385">
        <v>77</v>
      </c>
      <c r="G554" s="385">
        <v>3747</v>
      </c>
      <c r="H554" s="591">
        <v>5391</v>
      </c>
    </row>
    <row r="555" spans="4:8" x14ac:dyDescent="0.25">
      <c r="D555" s="591" t="s">
        <v>745</v>
      </c>
      <c r="E555" s="552">
        <v>45409</v>
      </c>
      <c r="F555" s="385">
        <v>50</v>
      </c>
      <c r="G555" s="385"/>
      <c r="H555" s="591">
        <v>5532</v>
      </c>
    </row>
    <row r="556" spans="4:8" x14ac:dyDescent="0.25">
      <c r="D556" s="591" t="s">
        <v>394</v>
      </c>
      <c r="E556" s="408">
        <v>45409</v>
      </c>
      <c r="F556" s="385">
        <v>424</v>
      </c>
      <c r="G556" s="385"/>
      <c r="H556" s="591">
        <v>5533</v>
      </c>
    </row>
    <row r="557" spans="4:8" x14ac:dyDescent="0.25">
      <c r="D557" s="591" t="s">
        <v>753</v>
      </c>
      <c r="E557" s="408">
        <v>45409</v>
      </c>
      <c r="F557" s="385">
        <v>52</v>
      </c>
      <c r="G557" s="385">
        <v>57039</v>
      </c>
      <c r="H557" s="591">
        <v>5534</v>
      </c>
    </row>
    <row r="558" spans="4:8" x14ac:dyDescent="0.25">
      <c r="D558" s="591" t="s">
        <v>766</v>
      </c>
      <c r="E558" s="408">
        <v>45409</v>
      </c>
      <c r="F558" s="385">
        <v>69</v>
      </c>
      <c r="G558" s="385">
        <v>7264</v>
      </c>
      <c r="H558" s="591">
        <v>5535</v>
      </c>
    </row>
    <row r="559" spans="4:8" x14ac:dyDescent="0.25">
      <c r="D559" s="591" t="s">
        <v>767</v>
      </c>
      <c r="E559" s="408">
        <v>45409</v>
      </c>
      <c r="F559" s="385">
        <v>147</v>
      </c>
      <c r="G559" s="385">
        <v>7624.4</v>
      </c>
      <c r="H559" s="591">
        <v>5336</v>
      </c>
    </row>
    <row r="560" spans="4:8" x14ac:dyDescent="0.25">
      <c r="D560" s="591" t="s">
        <v>768</v>
      </c>
      <c r="E560" s="408">
        <v>45409</v>
      </c>
      <c r="F560" s="385">
        <v>96</v>
      </c>
      <c r="G560" s="385"/>
      <c r="H560" s="591">
        <v>5537</v>
      </c>
    </row>
    <row r="561" spans="4:8" x14ac:dyDescent="0.25">
      <c r="D561" s="591" t="s">
        <v>769</v>
      </c>
      <c r="E561" s="408">
        <v>45415</v>
      </c>
      <c r="F561" s="385">
        <v>86</v>
      </c>
      <c r="G561" s="385"/>
      <c r="H561" s="591">
        <v>5585</v>
      </c>
    </row>
    <row r="562" spans="4:8" x14ac:dyDescent="0.25">
      <c r="D562" s="591" t="s">
        <v>311</v>
      </c>
      <c r="E562" s="408">
        <v>45415</v>
      </c>
      <c r="F562" s="385">
        <v>30</v>
      </c>
      <c r="G562" s="385">
        <v>5730.7</v>
      </c>
      <c r="H562" s="591">
        <v>5586</v>
      </c>
    </row>
    <row r="563" spans="4:8" x14ac:dyDescent="0.25">
      <c r="D563" s="591" t="s">
        <v>171</v>
      </c>
      <c r="E563" s="408">
        <v>45415</v>
      </c>
      <c r="F563" s="385">
        <v>34</v>
      </c>
      <c r="G563" s="385"/>
      <c r="H563" s="591">
        <v>5587</v>
      </c>
    </row>
    <row r="564" spans="4:8" x14ac:dyDescent="0.25">
      <c r="D564" s="591" t="s">
        <v>394</v>
      </c>
      <c r="E564" s="408">
        <v>45415</v>
      </c>
      <c r="F564" s="385">
        <v>160</v>
      </c>
      <c r="G564" s="385"/>
      <c r="H564" s="591">
        <v>5588</v>
      </c>
    </row>
    <row r="565" spans="4:8" x14ac:dyDescent="0.25">
      <c r="D565" s="591" t="s">
        <v>770</v>
      </c>
      <c r="E565" s="408">
        <v>45421</v>
      </c>
      <c r="F565" s="385">
        <v>84</v>
      </c>
      <c r="G565" s="385">
        <v>38031</v>
      </c>
      <c r="H565" s="591">
        <v>5637</v>
      </c>
    </row>
    <row r="566" spans="4:8" x14ac:dyDescent="0.25">
      <c r="D566" s="591" t="s">
        <v>771</v>
      </c>
      <c r="E566" s="408">
        <v>45421</v>
      </c>
      <c r="F566" s="385">
        <v>66</v>
      </c>
      <c r="G566" s="385"/>
      <c r="H566" s="591">
        <v>5638</v>
      </c>
    </row>
    <row r="567" spans="4:8" x14ac:dyDescent="0.25">
      <c r="D567" s="591" t="s">
        <v>171</v>
      </c>
      <c r="E567" s="408">
        <v>45421</v>
      </c>
      <c r="F567" s="385">
        <v>50</v>
      </c>
      <c r="G567" s="385"/>
      <c r="H567" s="591">
        <v>5639</v>
      </c>
    </row>
    <row r="568" spans="4:8" x14ac:dyDescent="0.25">
      <c r="D568" s="591" t="s">
        <v>772</v>
      </c>
      <c r="E568" s="408">
        <v>45421</v>
      </c>
      <c r="F568" s="385">
        <v>45</v>
      </c>
      <c r="G568" s="385"/>
      <c r="H568" s="591">
        <v>5640</v>
      </c>
    </row>
    <row r="569" spans="4:8" x14ac:dyDescent="0.25">
      <c r="D569" s="591" t="s">
        <v>394</v>
      </c>
      <c r="E569" s="408">
        <v>45421</v>
      </c>
      <c r="F569" s="385">
        <v>247</v>
      </c>
      <c r="G569" s="385"/>
      <c r="H569" s="591">
        <v>5642</v>
      </c>
    </row>
    <row r="570" spans="4:8" x14ac:dyDescent="0.25">
      <c r="D570" s="591" t="s">
        <v>773</v>
      </c>
      <c r="E570" s="408">
        <v>45421</v>
      </c>
      <c r="F570" s="385">
        <v>55</v>
      </c>
      <c r="G570" s="385">
        <v>1223.7</v>
      </c>
      <c r="H570" s="591">
        <v>5643</v>
      </c>
    </row>
    <row r="571" spans="4:8" x14ac:dyDescent="0.25">
      <c r="D571" s="591" t="s">
        <v>774</v>
      </c>
      <c r="E571" s="408">
        <v>45432</v>
      </c>
      <c r="F571" s="385">
        <v>79</v>
      </c>
      <c r="G571" s="385">
        <v>11706</v>
      </c>
      <c r="H571" s="591">
        <v>8232</v>
      </c>
    </row>
    <row r="572" spans="4:8" x14ac:dyDescent="0.25">
      <c r="D572" s="591" t="s">
        <v>768</v>
      </c>
      <c r="E572" s="408">
        <v>45432</v>
      </c>
      <c r="F572" s="385">
        <v>95</v>
      </c>
      <c r="G572" s="385">
        <v>3817</v>
      </c>
      <c r="H572" s="591">
        <v>8233</v>
      </c>
    </row>
    <row r="573" spans="4:8" x14ac:dyDescent="0.25">
      <c r="D573" s="591" t="s">
        <v>745</v>
      </c>
      <c r="E573" s="408">
        <v>45432</v>
      </c>
      <c r="F573" s="385">
        <v>55</v>
      </c>
      <c r="G573" s="385">
        <v>6015.6</v>
      </c>
      <c r="H573" s="591">
        <v>8234</v>
      </c>
    </row>
    <row r="574" spans="4:8" x14ac:dyDescent="0.25">
      <c r="D574" s="591" t="s">
        <v>775</v>
      </c>
      <c r="E574" s="408">
        <v>45432</v>
      </c>
      <c r="F574" s="385">
        <v>141</v>
      </c>
      <c r="G574" s="385">
        <v>158027</v>
      </c>
      <c r="H574" s="591">
        <v>8235</v>
      </c>
    </row>
    <row r="575" spans="4:8" x14ac:dyDescent="0.25">
      <c r="D575" s="591" t="s">
        <v>394</v>
      </c>
      <c r="E575" s="408">
        <v>45433</v>
      </c>
      <c r="F575" s="385">
        <v>386</v>
      </c>
      <c r="G575" s="385"/>
      <c r="H575" s="591">
        <v>8237</v>
      </c>
    </row>
    <row r="576" spans="4:8" x14ac:dyDescent="0.25">
      <c r="D576" s="591" t="s">
        <v>776</v>
      </c>
      <c r="E576" s="408">
        <v>45440</v>
      </c>
      <c r="F576" s="385">
        <v>91</v>
      </c>
      <c r="G576" s="385">
        <v>3842</v>
      </c>
      <c r="H576" s="591">
        <v>4149</v>
      </c>
    </row>
    <row r="577" spans="4:8" x14ac:dyDescent="0.25">
      <c r="D577" s="591" t="s">
        <v>777</v>
      </c>
      <c r="E577" s="408">
        <v>45440</v>
      </c>
      <c r="F577" s="385">
        <v>42</v>
      </c>
      <c r="G577" s="385">
        <v>11747.1</v>
      </c>
      <c r="H577" s="591">
        <v>4150</v>
      </c>
    </row>
    <row r="578" spans="4:8" x14ac:dyDescent="0.25">
      <c r="D578" s="591" t="s">
        <v>63</v>
      </c>
      <c r="E578" s="408">
        <v>45440</v>
      </c>
      <c r="F578" s="385">
        <v>21</v>
      </c>
      <c r="G578" s="385">
        <v>0</v>
      </c>
      <c r="H578" s="591">
        <v>5663</v>
      </c>
    </row>
    <row r="579" spans="4:8" x14ac:dyDescent="0.25">
      <c r="D579" s="591" t="s">
        <v>778</v>
      </c>
      <c r="E579" s="408">
        <v>45440</v>
      </c>
      <c r="F579" s="385">
        <v>189</v>
      </c>
      <c r="G579" s="385">
        <v>15959</v>
      </c>
      <c r="H579" s="591">
        <v>5664</v>
      </c>
    </row>
    <row r="580" spans="4:8" x14ac:dyDescent="0.25">
      <c r="D580" s="591" t="s">
        <v>394</v>
      </c>
      <c r="E580" s="408">
        <v>45440</v>
      </c>
      <c r="F580" s="385">
        <v>330</v>
      </c>
      <c r="G580" s="385"/>
      <c r="H580" s="591">
        <v>5665</v>
      </c>
    </row>
    <row r="581" spans="4:8" x14ac:dyDescent="0.25">
      <c r="D581" s="591" t="s">
        <v>779</v>
      </c>
      <c r="E581" s="408">
        <v>45443</v>
      </c>
      <c r="F581" s="385">
        <v>65</v>
      </c>
      <c r="G581" s="385">
        <v>3851</v>
      </c>
      <c r="H581" s="591">
        <v>3702</v>
      </c>
    </row>
    <row r="582" spans="4:8" x14ac:dyDescent="0.25">
      <c r="D582" s="591" t="s">
        <v>394</v>
      </c>
      <c r="E582" s="408">
        <v>45443</v>
      </c>
      <c r="F582" s="385">
        <v>295</v>
      </c>
      <c r="G582" s="385"/>
      <c r="H582" s="591">
        <v>3703</v>
      </c>
    </row>
    <row r="583" spans="4:8" x14ac:dyDescent="0.25">
      <c r="D583" s="591" t="s">
        <v>778</v>
      </c>
      <c r="E583" s="408">
        <v>45447</v>
      </c>
      <c r="F583" s="385">
        <v>127</v>
      </c>
      <c r="G583" s="385"/>
      <c r="H583" s="591">
        <v>3727</v>
      </c>
    </row>
    <row r="584" spans="4:8" x14ac:dyDescent="0.25">
      <c r="D584" s="591" t="s">
        <v>780</v>
      </c>
      <c r="E584" s="408">
        <v>45447</v>
      </c>
      <c r="F584" s="385">
        <v>74</v>
      </c>
      <c r="G584" s="385"/>
      <c r="H584" s="591">
        <v>3728</v>
      </c>
    </row>
    <row r="585" spans="4:8" x14ac:dyDescent="0.25">
      <c r="D585" s="591" t="s">
        <v>777</v>
      </c>
      <c r="E585" s="408">
        <v>45447</v>
      </c>
      <c r="F585" s="385">
        <v>97</v>
      </c>
      <c r="G585" s="385">
        <v>117877</v>
      </c>
      <c r="H585" s="591">
        <v>3729</v>
      </c>
    </row>
    <row r="586" spans="4:8" x14ac:dyDescent="0.25">
      <c r="D586" s="591" t="s">
        <v>394</v>
      </c>
      <c r="E586" s="408">
        <v>45447</v>
      </c>
      <c r="F586" s="385">
        <v>190</v>
      </c>
      <c r="G586" s="385"/>
      <c r="H586" s="591">
        <v>3730</v>
      </c>
    </row>
    <row r="587" spans="4:8" x14ac:dyDescent="0.25">
      <c r="D587" s="591" t="s">
        <v>394</v>
      </c>
      <c r="E587" s="408">
        <v>45453</v>
      </c>
      <c r="F587" s="385">
        <v>235</v>
      </c>
      <c r="G587" s="385"/>
      <c r="H587" s="591">
        <v>3780</v>
      </c>
    </row>
    <row r="588" spans="4:8" x14ac:dyDescent="0.25">
      <c r="D588" s="591" t="s">
        <v>171</v>
      </c>
      <c r="E588" s="408">
        <v>45455</v>
      </c>
      <c r="F588" s="385">
        <v>124</v>
      </c>
      <c r="G588" s="385"/>
      <c r="H588" s="591">
        <v>3800</v>
      </c>
    </row>
    <row r="589" spans="4:8" x14ac:dyDescent="0.25">
      <c r="D589" s="591" t="s">
        <v>89</v>
      </c>
      <c r="E589" s="408">
        <v>45455</v>
      </c>
      <c r="F589" s="385">
        <v>32</v>
      </c>
      <c r="G589" s="385"/>
      <c r="H589" s="591">
        <v>3951</v>
      </c>
    </row>
    <row r="590" spans="4:8" x14ac:dyDescent="0.25">
      <c r="D590" s="591" t="s">
        <v>394</v>
      </c>
      <c r="E590" s="408">
        <v>45460</v>
      </c>
      <c r="F590" s="385">
        <v>247</v>
      </c>
      <c r="G590" s="385"/>
      <c r="H590" s="591">
        <v>3984</v>
      </c>
    </row>
    <row r="591" spans="4:8" x14ac:dyDescent="0.25">
      <c r="D591" s="591" t="s">
        <v>394</v>
      </c>
      <c r="E591" s="408">
        <v>45467</v>
      </c>
      <c r="F591" s="385">
        <v>435</v>
      </c>
      <c r="G591" s="385"/>
      <c r="H591" s="591">
        <v>4004</v>
      </c>
    </row>
    <row r="592" spans="4:8" x14ac:dyDescent="0.25">
      <c r="D592" s="591" t="s">
        <v>394</v>
      </c>
      <c r="E592" s="408">
        <v>45471</v>
      </c>
      <c r="F592" s="385">
        <v>233</v>
      </c>
      <c r="G592" s="385"/>
      <c r="H592" s="591">
        <v>4004</v>
      </c>
    </row>
    <row r="593" spans="4:8" x14ac:dyDescent="0.25">
      <c r="D593" s="591" t="s">
        <v>777</v>
      </c>
      <c r="E593" s="408">
        <v>45478</v>
      </c>
      <c r="F593" s="385">
        <v>44</v>
      </c>
      <c r="G593" s="385"/>
      <c r="H593" s="591">
        <v>4051</v>
      </c>
    </row>
    <row r="594" spans="4:8" x14ac:dyDescent="0.25">
      <c r="D594" s="591" t="s">
        <v>781</v>
      </c>
      <c r="E594" s="408">
        <v>45478</v>
      </c>
      <c r="F594" s="385">
        <v>70</v>
      </c>
      <c r="G594" s="385"/>
      <c r="H594" s="591">
        <v>4052</v>
      </c>
    </row>
    <row r="595" spans="4:8" x14ac:dyDescent="0.25">
      <c r="D595" s="591" t="s">
        <v>745</v>
      </c>
      <c r="E595" s="408">
        <v>45478</v>
      </c>
      <c r="F595" s="385">
        <v>26</v>
      </c>
      <c r="G595" s="385">
        <v>2751</v>
      </c>
      <c r="H595" s="591">
        <v>4053</v>
      </c>
    </row>
    <row r="596" spans="4:8" x14ac:dyDescent="0.25">
      <c r="D596" s="591" t="s">
        <v>394</v>
      </c>
      <c r="E596" s="408">
        <v>45478</v>
      </c>
      <c r="F596" s="385">
        <v>235</v>
      </c>
      <c r="G596" s="385"/>
      <c r="H596" s="591">
        <v>4054</v>
      </c>
    </row>
    <row r="597" spans="4:8" x14ac:dyDescent="0.25">
      <c r="D597" s="591" t="s">
        <v>82</v>
      </c>
      <c r="E597" s="408">
        <v>45482</v>
      </c>
      <c r="F597" s="385">
        <v>30</v>
      </c>
      <c r="G597" s="385">
        <v>7289.4</v>
      </c>
      <c r="H597" s="591">
        <v>4091</v>
      </c>
    </row>
    <row r="598" spans="4:8" x14ac:dyDescent="0.25">
      <c r="D598" s="591" t="s">
        <v>778</v>
      </c>
      <c r="E598" s="408">
        <v>45482</v>
      </c>
      <c r="F598" s="385">
        <v>146</v>
      </c>
      <c r="G598" s="385">
        <v>16502</v>
      </c>
      <c r="H598" s="591">
        <v>4092</v>
      </c>
    </row>
    <row r="599" spans="4:8" x14ac:dyDescent="0.25">
      <c r="D599" s="591" t="s">
        <v>394</v>
      </c>
      <c r="E599" s="408">
        <v>45482</v>
      </c>
      <c r="F599" s="385">
        <v>438</v>
      </c>
      <c r="G599" s="385"/>
      <c r="H599" s="591">
        <v>4093</v>
      </c>
    </row>
    <row r="600" spans="4:8" x14ac:dyDescent="0.25">
      <c r="D600" s="591" t="s">
        <v>394</v>
      </c>
      <c r="E600" s="408">
        <v>45495</v>
      </c>
      <c r="F600" s="385">
        <v>256</v>
      </c>
      <c r="G600" s="385"/>
      <c r="H600" s="591">
        <v>8642</v>
      </c>
    </row>
    <row r="601" spans="4:8" x14ac:dyDescent="0.25">
      <c r="D601" s="591" t="s">
        <v>394</v>
      </c>
      <c r="E601" s="408">
        <v>45500</v>
      </c>
      <c r="F601" s="385">
        <v>285</v>
      </c>
      <c r="G601" s="385"/>
      <c r="H601" s="591">
        <v>8856</v>
      </c>
    </row>
    <row r="602" spans="4:8" x14ac:dyDescent="0.25">
      <c r="D602" s="591" t="s">
        <v>394</v>
      </c>
      <c r="E602" s="408">
        <v>45509</v>
      </c>
      <c r="F602" s="385">
        <v>21</v>
      </c>
      <c r="G602" s="385"/>
      <c r="H602" s="591">
        <v>6054</v>
      </c>
    </row>
    <row r="603" spans="4:8" x14ac:dyDescent="0.25">
      <c r="D603" s="591" t="s">
        <v>394</v>
      </c>
      <c r="E603" s="408">
        <v>45509</v>
      </c>
      <c r="F603" s="385">
        <v>267</v>
      </c>
      <c r="G603" s="393"/>
      <c r="H603" s="591">
        <v>6054</v>
      </c>
    </row>
    <row r="604" spans="4:8" x14ac:dyDescent="0.25">
      <c r="D604" s="591" t="s">
        <v>394</v>
      </c>
      <c r="E604" s="408">
        <v>45516</v>
      </c>
      <c r="F604" s="440">
        <v>216</v>
      </c>
      <c r="G604" s="385"/>
      <c r="H604" s="591">
        <v>8978</v>
      </c>
    </row>
    <row r="605" spans="4:8" x14ac:dyDescent="0.25">
      <c r="D605" s="591" t="s">
        <v>782</v>
      </c>
      <c r="E605" s="408">
        <v>45516</v>
      </c>
      <c r="F605" s="440">
        <v>100</v>
      </c>
      <c r="G605" s="385">
        <v>16905</v>
      </c>
      <c r="H605" s="591">
        <v>8979</v>
      </c>
    </row>
    <row r="606" spans="4:8" x14ac:dyDescent="0.25">
      <c r="D606" s="591" t="s">
        <v>782</v>
      </c>
      <c r="E606" s="408">
        <v>45516</v>
      </c>
      <c r="F606" s="440">
        <v>59</v>
      </c>
      <c r="G606" s="385">
        <v>7725.8</v>
      </c>
      <c r="H606" s="591">
        <v>8980</v>
      </c>
    </row>
    <row r="607" spans="4:8" x14ac:dyDescent="0.25">
      <c r="D607" s="591" t="s">
        <v>394</v>
      </c>
      <c r="E607" s="408">
        <v>45523</v>
      </c>
      <c r="F607" s="440">
        <v>332</v>
      </c>
      <c r="G607" s="385"/>
      <c r="H607" s="591">
        <v>8563</v>
      </c>
    </row>
    <row r="608" spans="4:8" x14ac:dyDescent="0.25">
      <c r="D608" s="591" t="s">
        <v>745</v>
      </c>
      <c r="E608" s="408">
        <v>58</v>
      </c>
      <c r="F608" s="440">
        <v>58</v>
      </c>
      <c r="G608" s="385">
        <v>2709</v>
      </c>
      <c r="H608" s="591">
        <v>8564</v>
      </c>
    </row>
    <row r="609" spans="4:9" x14ac:dyDescent="0.25">
      <c r="D609" s="591" t="s">
        <v>782</v>
      </c>
      <c r="E609" s="408">
        <v>45559</v>
      </c>
      <c r="F609" s="440">
        <v>115</v>
      </c>
      <c r="G609" s="385">
        <v>7939</v>
      </c>
      <c r="H609" s="591">
        <v>85979</v>
      </c>
    </row>
    <row r="610" spans="4:9" x14ac:dyDescent="0.25">
      <c r="D610" s="591" t="s">
        <v>782</v>
      </c>
      <c r="E610" s="874">
        <v>45567</v>
      </c>
      <c r="F610" s="875">
        <v>110</v>
      </c>
      <c r="G610" s="876"/>
      <c r="H610" s="591">
        <v>6542</v>
      </c>
      <c r="I610" s="348" t="s">
        <v>618</v>
      </c>
    </row>
    <row r="611" spans="4:9" x14ac:dyDescent="0.25">
      <c r="D611" s="877" t="str">
        <f>+D607</f>
        <v>DEPOSITO</v>
      </c>
      <c r="E611" s="878">
        <v>45572</v>
      </c>
      <c r="F611" s="877">
        <v>294</v>
      </c>
      <c r="G611" s="877">
        <v>0</v>
      </c>
      <c r="H611" s="877">
        <v>11141</v>
      </c>
      <c r="I611" s="348" t="s">
        <v>422</v>
      </c>
    </row>
    <row r="612" spans="4:9" x14ac:dyDescent="0.25">
      <c r="D612" s="877" t="s">
        <v>394</v>
      </c>
      <c r="E612" s="878">
        <v>45575</v>
      </c>
      <c r="F612" s="877">
        <v>420</v>
      </c>
      <c r="G612" s="877">
        <v>0</v>
      </c>
      <c r="H612" s="877">
        <v>6619</v>
      </c>
      <c r="I612" s="348" t="s">
        <v>422</v>
      </c>
    </row>
    <row r="613" spans="4:9" x14ac:dyDescent="0.25">
      <c r="D613" s="877" t="s">
        <v>782</v>
      </c>
      <c r="E613" s="878">
        <v>45575</v>
      </c>
      <c r="F613" s="877">
        <v>64</v>
      </c>
      <c r="G613" s="877"/>
      <c r="H613" s="877">
        <v>6621</v>
      </c>
      <c r="I613" s="348" t="str">
        <f t="shared" ref="I613:I634" si="71">+I612</f>
        <v>nissan</v>
      </c>
    </row>
    <row r="614" spans="4:9" x14ac:dyDescent="0.25">
      <c r="D614" s="877" t="s">
        <v>782</v>
      </c>
      <c r="E614" s="878">
        <v>45579</v>
      </c>
      <c r="F614" s="877">
        <v>48</v>
      </c>
      <c r="G614" s="877">
        <v>8034</v>
      </c>
      <c r="H614" s="877">
        <v>11059</v>
      </c>
      <c r="I614" s="348" t="str">
        <f t="shared" si="71"/>
        <v>nissan</v>
      </c>
    </row>
    <row r="615" spans="4:9" x14ac:dyDescent="0.25">
      <c r="D615" s="877" t="s">
        <v>89</v>
      </c>
      <c r="E615" s="878">
        <v>45579</v>
      </c>
      <c r="F615" s="877">
        <v>59</v>
      </c>
      <c r="G615" s="877"/>
      <c r="H615" s="877">
        <v>11060</v>
      </c>
      <c r="I615" s="348" t="str">
        <f t="shared" si="71"/>
        <v>nissan</v>
      </c>
    </row>
    <row r="616" spans="4:9" x14ac:dyDescent="0.25">
      <c r="D616" s="877" t="s">
        <v>782</v>
      </c>
      <c r="E616" s="878">
        <v>45593</v>
      </c>
      <c r="F616" s="877">
        <v>20</v>
      </c>
      <c r="G616" s="877">
        <v>8126.6</v>
      </c>
      <c r="H616" s="877">
        <v>7013</v>
      </c>
      <c r="I616" s="348" t="str">
        <f t="shared" si="71"/>
        <v>nissan</v>
      </c>
    </row>
    <row r="617" spans="4:9" x14ac:dyDescent="0.25">
      <c r="D617" s="877" t="s">
        <v>751</v>
      </c>
      <c r="E617" s="878">
        <v>45594</v>
      </c>
      <c r="F617" s="877">
        <v>435</v>
      </c>
      <c r="G617" s="877">
        <v>0</v>
      </c>
      <c r="H617" s="877">
        <v>7022</v>
      </c>
      <c r="I617" s="348" t="str">
        <f t="shared" si="71"/>
        <v>nissan</v>
      </c>
    </row>
    <row r="618" spans="4:9" x14ac:dyDescent="0.25">
      <c r="D618" s="877" t="s">
        <v>783</v>
      </c>
      <c r="E618" s="878">
        <v>45594</v>
      </c>
      <c r="F618" s="877">
        <v>61</v>
      </c>
      <c r="G618" s="877">
        <v>0</v>
      </c>
      <c r="H618" s="877">
        <v>7021</v>
      </c>
      <c r="I618" s="348" t="str">
        <f t="shared" si="71"/>
        <v>nissan</v>
      </c>
    </row>
    <row r="619" spans="4:9" x14ac:dyDescent="0.25">
      <c r="D619" s="877" t="str">
        <f>+D617</f>
        <v xml:space="preserve">DEPOSITO </v>
      </c>
      <c r="E619" s="878">
        <v>45603</v>
      </c>
      <c r="F619" s="877">
        <v>259</v>
      </c>
      <c r="G619" s="877">
        <v>0</v>
      </c>
      <c r="H619" s="877">
        <v>7281</v>
      </c>
      <c r="I619" s="348" t="str">
        <f t="shared" si="71"/>
        <v>nissan</v>
      </c>
    </row>
    <row r="620" spans="4:9" x14ac:dyDescent="0.25">
      <c r="D620" s="877" t="str">
        <f>+D618</f>
        <v>PLANTA  DE LUZ</v>
      </c>
      <c r="E620" s="878">
        <v>45604</v>
      </c>
      <c r="F620" s="877">
        <v>40</v>
      </c>
      <c r="G620" s="877">
        <v>0</v>
      </c>
      <c r="H620" s="877">
        <v>7852</v>
      </c>
      <c r="I620" s="348" t="str">
        <f t="shared" si="71"/>
        <v>nissan</v>
      </c>
    </row>
    <row r="621" spans="4:9" x14ac:dyDescent="0.25">
      <c r="D621" s="877" t="str">
        <f>+D620</f>
        <v>PLANTA  DE LUZ</v>
      </c>
      <c r="E621" s="878">
        <v>45609</v>
      </c>
      <c r="F621" s="877">
        <v>50</v>
      </c>
      <c r="G621" s="877">
        <v>0</v>
      </c>
      <c r="H621" s="877">
        <v>7895</v>
      </c>
      <c r="I621" s="348" t="str">
        <f t="shared" si="71"/>
        <v>nissan</v>
      </c>
    </row>
    <row r="622" spans="4:9" x14ac:dyDescent="0.25">
      <c r="D622" s="877" t="str">
        <f>+D621</f>
        <v>PLANTA  DE LUZ</v>
      </c>
      <c r="E622" s="878">
        <v>45611</v>
      </c>
      <c r="F622" s="877">
        <v>104</v>
      </c>
      <c r="G622" s="877">
        <v>0</v>
      </c>
      <c r="H622" s="877">
        <v>7621</v>
      </c>
      <c r="I622" s="348" t="str">
        <f t="shared" si="71"/>
        <v>nissan</v>
      </c>
    </row>
    <row r="623" spans="4:9" x14ac:dyDescent="0.25">
      <c r="D623" s="877" t="str">
        <f>+D619</f>
        <v xml:space="preserve">DEPOSITO </v>
      </c>
      <c r="E623" s="878">
        <v>45611</v>
      </c>
      <c r="F623" s="877">
        <v>201</v>
      </c>
      <c r="G623" s="877">
        <v>0</v>
      </c>
      <c r="H623" s="877">
        <v>7620</v>
      </c>
      <c r="I623" s="348" t="str">
        <f t="shared" si="71"/>
        <v>nissan</v>
      </c>
    </row>
    <row r="624" spans="4:9" x14ac:dyDescent="0.25">
      <c r="D624" s="877" t="str">
        <f>+D621</f>
        <v>PLANTA  DE LUZ</v>
      </c>
      <c r="E624" s="878">
        <v>45615</v>
      </c>
      <c r="F624" s="877">
        <v>100</v>
      </c>
      <c r="G624" s="877">
        <v>8282</v>
      </c>
      <c r="H624" s="877">
        <v>7647</v>
      </c>
      <c r="I624" s="348" t="str">
        <f t="shared" si="71"/>
        <v>nissan</v>
      </c>
    </row>
    <row r="625" spans="4:9" x14ac:dyDescent="0.25">
      <c r="D625" s="877" t="str">
        <f>+D624</f>
        <v>PLANTA  DE LUZ</v>
      </c>
      <c r="E625" s="878">
        <v>45621</v>
      </c>
      <c r="F625" s="877">
        <v>43</v>
      </c>
      <c r="G625" s="877">
        <v>8324.7999999999993</v>
      </c>
      <c r="H625" s="877">
        <v>7904</v>
      </c>
      <c r="I625" s="348" t="str">
        <f t="shared" si="71"/>
        <v>nissan</v>
      </c>
    </row>
    <row r="626" spans="4:9" x14ac:dyDescent="0.25">
      <c r="D626" s="877" t="str">
        <f>+D625</f>
        <v>PLANTA  DE LUZ</v>
      </c>
      <c r="E626" s="878">
        <v>45619</v>
      </c>
      <c r="F626" s="877">
        <v>81</v>
      </c>
      <c r="G626" s="877">
        <v>0</v>
      </c>
      <c r="H626" s="877">
        <v>7697</v>
      </c>
      <c r="I626" s="348" t="str">
        <f t="shared" si="71"/>
        <v>nissan</v>
      </c>
    </row>
    <row r="627" spans="4:9" x14ac:dyDescent="0.25">
      <c r="D627" s="877" t="s">
        <v>394</v>
      </c>
      <c r="E627" s="878">
        <v>45619</v>
      </c>
      <c r="F627" s="877">
        <v>360</v>
      </c>
      <c r="G627" s="877">
        <v>0</v>
      </c>
      <c r="H627" s="877">
        <v>7696</v>
      </c>
      <c r="I627" s="348" t="str">
        <f t="shared" si="71"/>
        <v>nissan</v>
      </c>
    </row>
    <row r="628" spans="4:9" x14ac:dyDescent="0.25">
      <c r="D628" s="877" t="s">
        <v>784</v>
      </c>
      <c r="E628" s="878">
        <v>45622</v>
      </c>
      <c r="F628" s="877">
        <v>50</v>
      </c>
      <c r="G628" s="877">
        <v>0</v>
      </c>
      <c r="H628" s="877">
        <v>7917</v>
      </c>
      <c r="I628" s="348" t="str">
        <f t="shared" si="71"/>
        <v>nissan</v>
      </c>
    </row>
    <row r="629" spans="4:9" x14ac:dyDescent="0.25">
      <c r="D629" s="877" t="str">
        <f>+D625</f>
        <v>PLANTA  DE LUZ</v>
      </c>
      <c r="E629" s="878">
        <v>45636</v>
      </c>
      <c r="F629" s="877">
        <v>80</v>
      </c>
      <c r="G629" s="877">
        <v>0</v>
      </c>
      <c r="H629" s="877">
        <v>7352</v>
      </c>
      <c r="I629" s="348" t="str">
        <f t="shared" si="71"/>
        <v>nissan</v>
      </c>
    </row>
    <row r="630" spans="4:9" x14ac:dyDescent="0.25">
      <c r="D630" s="877" t="str">
        <f>+D629</f>
        <v>PLANTA  DE LUZ</v>
      </c>
      <c r="E630" s="878">
        <v>45631</v>
      </c>
      <c r="F630" s="877">
        <v>90</v>
      </c>
      <c r="G630" s="877">
        <v>0</v>
      </c>
      <c r="H630" s="877">
        <v>7331</v>
      </c>
      <c r="I630" s="348" t="str">
        <f t="shared" si="71"/>
        <v>nissan</v>
      </c>
    </row>
    <row r="631" spans="4:9" x14ac:dyDescent="0.25">
      <c r="D631" s="877" t="s">
        <v>394</v>
      </c>
      <c r="E631" s="878">
        <v>45637</v>
      </c>
      <c r="F631" s="877">
        <v>400</v>
      </c>
      <c r="G631" s="877">
        <v>0</v>
      </c>
      <c r="H631" s="877">
        <v>7353</v>
      </c>
      <c r="I631" s="348" t="str">
        <f t="shared" si="71"/>
        <v>nissan</v>
      </c>
    </row>
    <row r="632" spans="4:9" x14ac:dyDescent="0.25">
      <c r="D632" s="877" t="s">
        <v>778</v>
      </c>
      <c r="E632" s="878">
        <v>45638</v>
      </c>
      <c r="F632" s="877">
        <v>40</v>
      </c>
      <c r="G632" s="877">
        <v>0</v>
      </c>
      <c r="H632" s="877">
        <v>7367</v>
      </c>
      <c r="I632" s="348" t="str">
        <f t="shared" si="71"/>
        <v>nissan</v>
      </c>
    </row>
    <row r="633" spans="4:9" x14ac:dyDescent="0.25">
      <c r="D633" s="877" t="s">
        <v>778</v>
      </c>
      <c r="E633" s="878">
        <v>45647</v>
      </c>
      <c r="F633" s="877">
        <v>89</v>
      </c>
      <c r="G633" s="877">
        <v>0</v>
      </c>
      <c r="H633" s="877">
        <v>12007</v>
      </c>
      <c r="I633" s="348" t="str">
        <f t="shared" si="71"/>
        <v>nissan</v>
      </c>
    </row>
    <row r="634" spans="4:9" x14ac:dyDescent="0.25">
      <c r="D634" s="877" t="s">
        <v>394</v>
      </c>
      <c r="E634" s="878">
        <v>45647</v>
      </c>
      <c r="F634" s="877">
        <v>47</v>
      </c>
      <c r="G634" s="877">
        <v>0</v>
      </c>
      <c r="H634" s="877">
        <v>12008</v>
      </c>
      <c r="I634" s="348" t="str">
        <f t="shared" si="71"/>
        <v>nissan</v>
      </c>
    </row>
    <row r="635" spans="4:9" x14ac:dyDescent="0.25">
      <c r="D635" s="877" t="str">
        <f>+D634</f>
        <v>DEPOSITO</v>
      </c>
      <c r="E635" s="878">
        <v>46022</v>
      </c>
      <c r="F635" s="877">
        <v>400</v>
      </c>
      <c r="G635" s="877">
        <v>0</v>
      </c>
      <c r="H635" s="877">
        <v>9194</v>
      </c>
      <c r="I635" s="348" t="str">
        <f>+I634</f>
        <v>nissan</v>
      </c>
    </row>
    <row r="636" spans="4:9" x14ac:dyDescent="0.25">
      <c r="D636" s="877" t="s">
        <v>394</v>
      </c>
      <c r="E636" s="878">
        <v>46022</v>
      </c>
      <c r="F636" s="877">
        <v>70</v>
      </c>
      <c r="G636" s="877">
        <v>0</v>
      </c>
      <c r="H636" s="877">
        <v>8142</v>
      </c>
      <c r="I636" s="348" t="str">
        <f>+I635</f>
        <v>nissan</v>
      </c>
    </row>
    <row r="637" spans="4:9" x14ac:dyDescent="0.25">
      <c r="D637" s="877" t="s">
        <v>778</v>
      </c>
      <c r="E637" s="878">
        <v>45660</v>
      </c>
      <c r="F637" s="877">
        <v>38</v>
      </c>
      <c r="G637" s="877">
        <v>0</v>
      </c>
      <c r="H637" s="877">
        <v>12045</v>
      </c>
      <c r="I637" s="348" t="str">
        <f>+I636</f>
        <v>nissan</v>
      </c>
    </row>
    <row r="638" spans="4:9" x14ac:dyDescent="0.25">
      <c r="D638" s="877" t="str">
        <f>+D635</f>
        <v>DEPOSITO</v>
      </c>
      <c r="E638" s="878">
        <v>45664</v>
      </c>
      <c r="F638" s="877">
        <v>395</v>
      </c>
      <c r="G638" s="877">
        <v>0</v>
      </c>
      <c r="H638" s="877">
        <v>15023</v>
      </c>
      <c r="I638" s="348" t="str">
        <f>+I634</f>
        <v>nissan</v>
      </c>
    </row>
    <row r="639" spans="4:9" x14ac:dyDescent="0.25">
      <c r="D639" s="877" t="str">
        <f>+D632</f>
        <v>PLANTA</v>
      </c>
      <c r="E639" s="878">
        <v>45672</v>
      </c>
      <c r="F639" s="877">
        <v>82</v>
      </c>
      <c r="G639" s="877">
        <v>0</v>
      </c>
      <c r="H639" s="877">
        <v>12064</v>
      </c>
      <c r="I639" s="348" t="str">
        <f>+I638</f>
        <v>nissan</v>
      </c>
    </row>
    <row r="640" spans="4:9" x14ac:dyDescent="0.25">
      <c r="D640" s="877" t="str">
        <f>+D639</f>
        <v>PLANTA</v>
      </c>
      <c r="E640" s="878">
        <v>45673</v>
      </c>
      <c r="F640" s="877">
        <v>60</v>
      </c>
      <c r="G640" s="877">
        <v>0</v>
      </c>
      <c r="H640" s="877">
        <v>12097</v>
      </c>
      <c r="I640" s="348" t="str">
        <f>+I639</f>
        <v>nissan</v>
      </c>
    </row>
    <row r="641" spans="4:9" x14ac:dyDescent="0.25">
      <c r="D641" s="876" t="s">
        <v>782</v>
      </c>
      <c r="E641" s="878">
        <v>45674</v>
      </c>
      <c r="F641" s="876">
        <v>43</v>
      </c>
      <c r="G641" s="877">
        <v>0</v>
      </c>
      <c r="H641" s="876">
        <v>13006</v>
      </c>
      <c r="I641" s="348" t="str">
        <f>+I640</f>
        <v>nissan</v>
      </c>
    </row>
    <row r="642" spans="4:9" x14ac:dyDescent="0.25">
      <c r="D642" s="876" t="s">
        <v>394</v>
      </c>
      <c r="E642" s="878">
        <v>45674</v>
      </c>
      <c r="F642" s="876">
        <v>300</v>
      </c>
      <c r="G642" s="877">
        <v>0</v>
      </c>
      <c r="H642" s="876">
        <v>13007</v>
      </c>
      <c r="I642" s="348" t="str">
        <f>+I641</f>
        <v>nissan</v>
      </c>
    </row>
    <row r="643" spans="4:9" x14ac:dyDescent="0.25">
      <c r="D643" s="876" t="s">
        <v>785</v>
      </c>
      <c r="E643" s="878">
        <v>45674</v>
      </c>
      <c r="F643" s="876">
        <v>177</v>
      </c>
      <c r="G643" s="877">
        <v>0</v>
      </c>
      <c r="H643" s="876">
        <v>13008</v>
      </c>
      <c r="I643" s="348" t="str">
        <f>+I642</f>
        <v>nissan</v>
      </c>
    </row>
    <row r="644" spans="4:9" x14ac:dyDescent="0.25">
      <c r="E644" s="879" t="s">
        <v>786</v>
      </c>
      <c r="F644" s="376">
        <f>SUM(F509:F643)</f>
        <v>20660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FF93-57BF-4DE7-A70B-F4DEA95151D5}">
  <sheetPr>
    <tabColor rgb="FFFFC000"/>
  </sheetPr>
  <dimension ref="B4:K66"/>
  <sheetViews>
    <sheetView topLeftCell="A26" workbookViewId="0">
      <selection activeCell="J54" sqref="J54"/>
    </sheetView>
  </sheetViews>
  <sheetFormatPr baseColWidth="10" defaultRowHeight="15" x14ac:dyDescent="0.25"/>
  <cols>
    <col min="2" max="2" width="32.140625" customWidth="1"/>
    <col min="3" max="3" width="14" bestFit="1" customWidth="1"/>
    <col min="10" max="10" width="19.5703125" bestFit="1" customWidth="1"/>
    <col min="11" max="11" width="31.140625" bestFit="1" customWidth="1"/>
  </cols>
  <sheetData>
    <row r="4" spans="2:11" ht="16.5" thickBot="1" x14ac:dyDescent="0.3">
      <c r="B4" s="881" t="s">
        <v>281</v>
      </c>
      <c r="C4" s="882"/>
      <c r="D4" s="883"/>
      <c r="E4" s="881"/>
      <c r="F4" s="882"/>
      <c r="G4" s="884"/>
      <c r="H4" s="884"/>
      <c r="I4" s="884"/>
      <c r="J4" s="884"/>
      <c r="K4" s="884"/>
    </row>
    <row r="5" spans="2:11" ht="16.5" thickBot="1" x14ac:dyDescent="0.3">
      <c r="B5" s="369" t="s">
        <v>300</v>
      </c>
      <c r="C5" s="369" t="s">
        <v>23</v>
      </c>
      <c r="D5" s="885" t="s">
        <v>207</v>
      </c>
      <c r="E5" s="369" t="s">
        <v>208</v>
      </c>
      <c r="F5" s="369" t="s">
        <v>209</v>
      </c>
      <c r="G5" s="369" t="s">
        <v>210</v>
      </c>
      <c r="H5" s="369" t="s">
        <v>211</v>
      </c>
      <c r="I5" s="369" t="s">
        <v>28</v>
      </c>
      <c r="J5" s="369" t="s">
        <v>27</v>
      </c>
      <c r="K5" s="369" t="s">
        <v>246</v>
      </c>
    </row>
    <row r="6" spans="2:11" ht="15.75" x14ac:dyDescent="0.25">
      <c r="B6" s="886" t="s">
        <v>282</v>
      </c>
      <c r="C6" s="887"/>
      <c r="D6" s="888">
        <v>46100</v>
      </c>
      <c r="E6" s="889">
        <v>131</v>
      </c>
      <c r="F6" s="890"/>
      <c r="G6" s="890">
        <v>12770</v>
      </c>
      <c r="H6" s="890" t="s">
        <v>64</v>
      </c>
      <c r="I6" s="891"/>
      <c r="J6" s="891"/>
      <c r="K6" s="891"/>
    </row>
    <row r="7" spans="2:11" ht="15.75" x14ac:dyDescent="0.25">
      <c r="B7" s="884"/>
      <c r="C7" s="887"/>
      <c r="D7" s="892"/>
      <c r="E7" s="893"/>
      <c r="F7" s="891"/>
      <c r="G7" s="894"/>
      <c r="H7" s="891"/>
      <c r="I7" s="891"/>
      <c r="J7" s="891"/>
      <c r="K7" s="891"/>
    </row>
    <row r="8" spans="2:11" ht="15.75" x14ac:dyDescent="0.25">
      <c r="B8" s="886" t="s">
        <v>86</v>
      </c>
      <c r="C8" s="887">
        <v>0.30625000000000002</v>
      </c>
      <c r="D8" s="892">
        <v>46097</v>
      </c>
      <c r="E8" s="893">
        <v>25</v>
      </c>
      <c r="F8" s="891">
        <v>1306</v>
      </c>
      <c r="G8" s="894">
        <v>18</v>
      </c>
      <c r="H8" s="891">
        <v>11779</v>
      </c>
      <c r="I8" s="891" t="s">
        <v>628</v>
      </c>
      <c r="J8" s="891" t="s">
        <v>383</v>
      </c>
      <c r="K8" s="891"/>
    </row>
    <row r="9" spans="2:11" ht="15.75" x14ac:dyDescent="0.25">
      <c r="B9" s="884"/>
      <c r="C9" s="887">
        <v>0.5625</v>
      </c>
      <c r="D9" s="892">
        <v>46099</v>
      </c>
      <c r="E9" s="893">
        <v>60</v>
      </c>
      <c r="F9" s="891">
        <v>1316</v>
      </c>
      <c r="G9" s="894">
        <v>10</v>
      </c>
      <c r="H9" s="891">
        <v>12756</v>
      </c>
      <c r="I9" s="891" t="s">
        <v>628</v>
      </c>
      <c r="J9" s="891" t="s">
        <v>383</v>
      </c>
      <c r="K9" s="891" t="s">
        <v>630</v>
      </c>
    </row>
    <row r="10" spans="2:11" ht="15.75" x14ac:dyDescent="0.25">
      <c r="B10" s="884"/>
      <c r="C10" s="887">
        <v>0.46041666666666664</v>
      </c>
      <c r="D10" s="892">
        <v>46101</v>
      </c>
      <c r="E10" s="893">
        <v>53</v>
      </c>
      <c r="F10" s="891">
        <v>1329</v>
      </c>
      <c r="G10" s="894">
        <v>13</v>
      </c>
      <c r="H10" s="891">
        <v>12779</v>
      </c>
      <c r="I10" s="891" t="s">
        <v>628</v>
      </c>
      <c r="J10" s="891" t="s">
        <v>383</v>
      </c>
      <c r="K10" s="891" t="s">
        <v>633</v>
      </c>
    </row>
    <row r="11" spans="2:11" ht="15.75" x14ac:dyDescent="0.25">
      <c r="B11" s="884"/>
      <c r="C11" s="887"/>
      <c r="D11" s="892"/>
      <c r="E11" s="893"/>
      <c r="F11" s="891"/>
      <c r="G11" s="894"/>
      <c r="H11" s="891"/>
      <c r="I11" s="891"/>
      <c r="J11" s="891"/>
      <c r="K11" s="891"/>
    </row>
    <row r="12" spans="2:11" ht="15.75" x14ac:dyDescent="0.25">
      <c r="B12" s="884"/>
      <c r="C12" s="887"/>
      <c r="D12" s="892"/>
      <c r="E12" s="893"/>
      <c r="F12" s="891"/>
      <c r="G12" s="894"/>
      <c r="H12" s="891"/>
      <c r="I12" s="891"/>
      <c r="J12" s="891"/>
      <c r="K12" s="891"/>
    </row>
    <row r="13" spans="2:11" ht="15.75" x14ac:dyDescent="0.25">
      <c r="B13" s="886" t="s">
        <v>283</v>
      </c>
      <c r="C13" s="887">
        <v>0.3125</v>
      </c>
      <c r="D13" s="892">
        <v>46097</v>
      </c>
      <c r="E13" s="893">
        <v>84</v>
      </c>
      <c r="F13" s="891">
        <v>4992</v>
      </c>
      <c r="G13" s="894">
        <v>0</v>
      </c>
      <c r="H13" s="891">
        <v>11780</v>
      </c>
      <c r="I13" s="891" t="s">
        <v>406</v>
      </c>
      <c r="J13" s="891" t="s">
        <v>383</v>
      </c>
      <c r="K13" s="891"/>
    </row>
    <row r="14" spans="2:11" ht="15.75" x14ac:dyDescent="0.25">
      <c r="B14" s="884"/>
      <c r="C14" s="887"/>
      <c r="D14" s="892">
        <v>46099</v>
      </c>
      <c r="E14" s="893">
        <v>100</v>
      </c>
      <c r="F14" s="891">
        <v>5032</v>
      </c>
      <c r="G14" s="894">
        <v>40</v>
      </c>
      <c r="H14" s="891">
        <v>12755</v>
      </c>
      <c r="I14" s="891" t="s">
        <v>406</v>
      </c>
      <c r="J14" s="891" t="s">
        <v>383</v>
      </c>
      <c r="K14" s="891"/>
    </row>
    <row r="15" spans="2:11" ht="15.75" x14ac:dyDescent="0.25">
      <c r="B15" s="884"/>
      <c r="C15" s="887">
        <v>0.50416666666666665</v>
      </c>
      <c r="D15" s="892">
        <v>46101</v>
      </c>
      <c r="E15" s="893">
        <v>86</v>
      </c>
      <c r="F15" s="891">
        <v>5049</v>
      </c>
      <c r="G15" s="894">
        <v>17</v>
      </c>
      <c r="H15" s="891">
        <v>12784</v>
      </c>
      <c r="I15" s="891" t="s">
        <v>406</v>
      </c>
      <c r="J15" s="891" t="s">
        <v>383</v>
      </c>
      <c r="K15" s="891"/>
    </row>
    <row r="16" spans="2:11" ht="15.75" x14ac:dyDescent="0.25">
      <c r="B16" s="884"/>
      <c r="C16" s="887"/>
      <c r="D16" s="892"/>
      <c r="E16" s="893"/>
      <c r="F16" s="891"/>
      <c r="G16" s="894"/>
      <c r="H16" s="891"/>
      <c r="I16" s="891"/>
      <c r="J16" s="891"/>
      <c r="K16" s="891"/>
    </row>
    <row r="17" spans="2:11" ht="15.75" x14ac:dyDescent="0.25">
      <c r="B17" s="884"/>
      <c r="C17" s="887"/>
      <c r="D17" s="892"/>
      <c r="E17" s="893"/>
      <c r="F17" s="891"/>
      <c r="G17" s="894"/>
      <c r="H17" s="891"/>
      <c r="I17" s="891"/>
      <c r="J17" s="891"/>
      <c r="K17" s="891"/>
    </row>
    <row r="18" spans="2:11" ht="15.75" x14ac:dyDescent="0.25">
      <c r="B18" s="886" t="s">
        <v>284</v>
      </c>
      <c r="C18" s="887">
        <v>0.31944444444444442</v>
      </c>
      <c r="D18" s="892">
        <v>46097</v>
      </c>
      <c r="E18" s="893">
        <v>103</v>
      </c>
      <c r="F18" s="891">
        <v>7121</v>
      </c>
      <c r="G18" s="894">
        <v>0</v>
      </c>
      <c r="H18" s="891">
        <v>11781</v>
      </c>
      <c r="I18" s="891" t="s">
        <v>168</v>
      </c>
      <c r="J18" s="891" t="s">
        <v>338</v>
      </c>
      <c r="K18" s="891"/>
    </row>
    <row r="19" spans="2:11" ht="15.75" x14ac:dyDescent="0.25">
      <c r="B19" s="884"/>
      <c r="C19" s="887"/>
      <c r="D19" s="892">
        <v>46099</v>
      </c>
      <c r="E19" s="893">
        <v>73</v>
      </c>
      <c r="F19" s="891">
        <v>7156</v>
      </c>
      <c r="G19" s="894">
        <v>35</v>
      </c>
      <c r="H19" s="891">
        <v>12754</v>
      </c>
      <c r="I19" s="891" t="s">
        <v>168</v>
      </c>
      <c r="J19" s="891" t="s">
        <v>338</v>
      </c>
      <c r="K19" s="891"/>
    </row>
    <row r="20" spans="2:11" ht="15.75" x14ac:dyDescent="0.25">
      <c r="B20" s="884"/>
      <c r="C20" s="887">
        <v>0.47638888888888886</v>
      </c>
      <c r="D20" s="892">
        <v>46101</v>
      </c>
      <c r="E20" s="893">
        <v>116</v>
      </c>
      <c r="F20" s="891">
        <v>7172</v>
      </c>
      <c r="G20" s="894">
        <v>16</v>
      </c>
      <c r="H20" s="891">
        <v>12782</v>
      </c>
      <c r="I20" s="891" t="s">
        <v>168</v>
      </c>
      <c r="J20" s="891" t="s">
        <v>338</v>
      </c>
      <c r="K20" s="891"/>
    </row>
    <row r="21" spans="2:11" ht="15.75" x14ac:dyDescent="0.25">
      <c r="B21" s="884"/>
      <c r="C21" s="887"/>
      <c r="D21" s="892"/>
      <c r="E21" s="893"/>
      <c r="F21" s="891"/>
      <c r="G21" s="894"/>
      <c r="H21" s="891"/>
      <c r="I21" s="891"/>
      <c r="J21" s="891"/>
      <c r="K21" s="891"/>
    </row>
    <row r="22" spans="2:11" ht="15.75" x14ac:dyDescent="0.25">
      <c r="B22" s="886" t="s">
        <v>115</v>
      </c>
      <c r="C22" s="887">
        <v>0.36180555555555555</v>
      </c>
      <c r="D22" s="892">
        <v>46097</v>
      </c>
      <c r="E22" s="893">
        <v>52</v>
      </c>
      <c r="F22" s="891"/>
      <c r="G22" s="894"/>
      <c r="H22" s="891">
        <v>11783</v>
      </c>
      <c r="I22" s="891" t="s">
        <v>513</v>
      </c>
      <c r="J22" s="891" t="s">
        <v>144</v>
      </c>
      <c r="K22" s="891"/>
    </row>
    <row r="23" spans="2:11" ht="15.75" x14ac:dyDescent="0.25">
      <c r="B23" s="884"/>
      <c r="C23" s="887">
        <v>0.71944444444444444</v>
      </c>
      <c r="D23" s="892">
        <v>46099</v>
      </c>
      <c r="E23" s="893">
        <v>18</v>
      </c>
      <c r="F23" s="891"/>
      <c r="G23" s="894"/>
      <c r="H23" s="891">
        <v>12761</v>
      </c>
      <c r="I23" s="891" t="s">
        <v>513</v>
      </c>
      <c r="J23" s="891" t="s">
        <v>144</v>
      </c>
      <c r="K23" s="891"/>
    </row>
    <row r="24" spans="2:11" ht="15.75" x14ac:dyDescent="0.25">
      <c r="B24" s="884"/>
      <c r="C24" s="887"/>
      <c r="D24" s="892"/>
      <c r="E24" s="893"/>
      <c r="F24" s="891"/>
      <c r="G24" s="894"/>
      <c r="H24" s="891"/>
      <c r="I24" s="891"/>
      <c r="J24" s="891"/>
      <c r="K24" s="891"/>
    </row>
    <row r="25" spans="2:11" ht="15.75" x14ac:dyDescent="0.25">
      <c r="B25" s="886" t="s">
        <v>285</v>
      </c>
      <c r="C25" s="887">
        <v>0.38680555555555557</v>
      </c>
      <c r="D25" s="892">
        <v>46095</v>
      </c>
      <c r="E25" s="893">
        <v>328</v>
      </c>
      <c r="F25" s="891">
        <v>3350</v>
      </c>
      <c r="G25" s="894">
        <v>64</v>
      </c>
      <c r="H25" s="891">
        <v>11777</v>
      </c>
      <c r="I25" s="891" t="s">
        <v>61</v>
      </c>
      <c r="J25" s="891" t="s">
        <v>101</v>
      </c>
      <c r="K25" s="891"/>
    </row>
    <row r="26" spans="2:11" ht="15.75" x14ac:dyDescent="0.25">
      <c r="B26" s="884"/>
      <c r="C26" s="887">
        <v>0.3347222222222222</v>
      </c>
      <c r="D26" s="892">
        <v>46100</v>
      </c>
      <c r="E26" s="893">
        <v>300</v>
      </c>
      <c r="F26" s="891">
        <v>3370</v>
      </c>
      <c r="G26" s="894">
        <v>64</v>
      </c>
      <c r="H26" s="891">
        <v>12765</v>
      </c>
      <c r="I26" s="891" t="s">
        <v>61</v>
      </c>
      <c r="J26" s="891" t="s">
        <v>101</v>
      </c>
      <c r="K26" s="891" t="s">
        <v>787</v>
      </c>
    </row>
    <row r="27" spans="2:11" ht="15.75" x14ac:dyDescent="0.25">
      <c r="B27" s="884"/>
      <c r="C27" s="887"/>
      <c r="D27" s="892"/>
      <c r="E27" s="893"/>
      <c r="F27" s="891"/>
      <c r="G27" s="894"/>
      <c r="H27" s="891"/>
      <c r="I27" s="891"/>
      <c r="J27" s="891"/>
      <c r="K27" s="891"/>
    </row>
    <row r="28" spans="2:11" ht="15.75" x14ac:dyDescent="0.25">
      <c r="B28" s="886" t="s">
        <v>286</v>
      </c>
      <c r="C28" s="887">
        <v>0.38750000000000001</v>
      </c>
      <c r="D28" s="892">
        <v>46095</v>
      </c>
      <c r="E28" s="893">
        <v>150</v>
      </c>
      <c r="F28" s="891">
        <v>2323</v>
      </c>
      <c r="G28" s="894">
        <v>10</v>
      </c>
      <c r="H28" s="891">
        <v>11786</v>
      </c>
      <c r="I28" s="891" t="s">
        <v>308</v>
      </c>
      <c r="J28" s="891" t="s">
        <v>75</v>
      </c>
      <c r="K28" s="891"/>
    </row>
    <row r="29" spans="2:11" ht="15.75" x14ac:dyDescent="0.25">
      <c r="B29" s="884"/>
      <c r="C29" s="887">
        <v>0.37847222222222221</v>
      </c>
      <c r="D29" s="892">
        <v>46100</v>
      </c>
      <c r="E29" s="893">
        <v>305</v>
      </c>
      <c r="F29" s="891">
        <v>2338</v>
      </c>
      <c r="G29" s="894">
        <v>15</v>
      </c>
      <c r="H29" s="891">
        <v>12766</v>
      </c>
      <c r="I29" s="891" t="s">
        <v>308</v>
      </c>
      <c r="J29" s="891" t="s">
        <v>75</v>
      </c>
      <c r="K29" s="891"/>
    </row>
    <row r="30" spans="2:11" ht="15.75" x14ac:dyDescent="0.25">
      <c r="B30" s="884"/>
      <c r="C30" s="887"/>
      <c r="D30" s="892"/>
      <c r="E30" s="893"/>
      <c r="F30" s="891"/>
      <c r="G30" s="894"/>
      <c r="H30" s="891"/>
      <c r="I30" s="891"/>
      <c r="J30" s="891"/>
      <c r="K30" s="891"/>
    </row>
    <row r="31" spans="2:11" ht="15.75" x14ac:dyDescent="0.25">
      <c r="B31" s="886" t="s">
        <v>287</v>
      </c>
      <c r="C31" s="887">
        <v>0.59722222222222221</v>
      </c>
      <c r="D31" s="892">
        <v>46100</v>
      </c>
      <c r="E31" s="893">
        <v>63</v>
      </c>
      <c r="F31" s="891">
        <v>486</v>
      </c>
      <c r="G31" s="894">
        <v>20</v>
      </c>
      <c r="H31" s="891">
        <v>12769</v>
      </c>
      <c r="I31" s="891" t="s">
        <v>735</v>
      </c>
      <c r="J31" s="891" t="s">
        <v>586</v>
      </c>
      <c r="K31" s="891"/>
    </row>
    <row r="32" spans="2:11" ht="15.75" x14ac:dyDescent="0.25">
      <c r="B32" s="884"/>
      <c r="C32" s="887"/>
      <c r="D32" s="892"/>
      <c r="E32" s="893"/>
      <c r="F32" s="891"/>
      <c r="G32" s="894"/>
      <c r="H32" s="891"/>
      <c r="I32" s="891"/>
      <c r="J32" s="891"/>
      <c r="K32" s="891"/>
    </row>
    <row r="33" spans="2:11" ht="15.75" x14ac:dyDescent="0.25">
      <c r="B33" s="886" t="s">
        <v>288</v>
      </c>
      <c r="C33" s="887">
        <v>0.60277777777777775</v>
      </c>
      <c r="D33" s="892">
        <v>46100</v>
      </c>
      <c r="E33" s="893">
        <v>102</v>
      </c>
      <c r="F33" s="891">
        <v>3652</v>
      </c>
      <c r="G33" s="894">
        <v>0</v>
      </c>
      <c r="H33" s="891">
        <v>12771</v>
      </c>
      <c r="I33" s="891" t="s">
        <v>83</v>
      </c>
      <c r="J33" s="891" t="s">
        <v>638</v>
      </c>
      <c r="K33" s="891" t="s">
        <v>689</v>
      </c>
    </row>
    <row r="34" spans="2:11" ht="15.75" x14ac:dyDescent="0.25">
      <c r="B34" s="884"/>
      <c r="C34" s="887"/>
      <c r="D34" s="892"/>
      <c r="E34" s="893"/>
      <c r="F34" s="891"/>
      <c r="G34" s="894"/>
      <c r="H34" s="891"/>
      <c r="I34" s="891"/>
      <c r="J34" s="891"/>
      <c r="K34" s="891"/>
    </row>
    <row r="35" spans="2:11" ht="15.75" x14ac:dyDescent="0.25">
      <c r="B35" s="886" t="s">
        <v>289</v>
      </c>
      <c r="C35" s="887">
        <v>0.60763888888888884</v>
      </c>
      <c r="D35" s="892">
        <v>46101</v>
      </c>
      <c r="E35" s="893">
        <v>96</v>
      </c>
      <c r="F35" s="891">
        <v>1083</v>
      </c>
      <c r="G35" s="894">
        <v>43</v>
      </c>
      <c r="H35" s="891">
        <v>12785</v>
      </c>
      <c r="I35" s="891" t="s">
        <v>173</v>
      </c>
      <c r="J35" s="891" t="s">
        <v>90</v>
      </c>
      <c r="K35" s="891"/>
    </row>
    <row r="36" spans="2:11" ht="15.75" x14ac:dyDescent="0.25">
      <c r="B36" s="884"/>
      <c r="C36" s="887"/>
      <c r="D36" s="892"/>
      <c r="E36" s="893"/>
      <c r="F36" s="891"/>
      <c r="G36" s="894"/>
      <c r="H36" s="891"/>
      <c r="I36" s="891"/>
      <c r="J36" s="891"/>
      <c r="K36" s="891"/>
    </row>
    <row r="37" spans="2:11" ht="15.75" x14ac:dyDescent="0.25">
      <c r="B37" s="886" t="s">
        <v>290</v>
      </c>
      <c r="C37" s="887">
        <v>0.68333333333333335</v>
      </c>
      <c r="D37" s="892">
        <v>46099</v>
      </c>
      <c r="E37" s="893">
        <v>52</v>
      </c>
      <c r="F37" s="891">
        <v>3661</v>
      </c>
      <c r="G37" s="894">
        <v>0</v>
      </c>
      <c r="H37" s="891">
        <v>12762</v>
      </c>
      <c r="I37" s="891" t="s">
        <v>555</v>
      </c>
      <c r="J37" s="891"/>
      <c r="K37" s="891"/>
    </row>
    <row r="38" spans="2:11" ht="15.75" x14ac:dyDescent="0.25">
      <c r="B38" s="884"/>
      <c r="C38" s="887"/>
      <c r="D38" s="892"/>
      <c r="E38" s="893"/>
      <c r="F38" s="891"/>
      <c r="G38" s="894"/>
      <c r="H38" s="891"/>
      <c r="I38" s="891"/>
      <c r="J38" s="891"/>
      <c r="K38" s="891"/>
    </row>
    <row r="39" spans="2:11" ht="15.75" x14ac:dyDescent="0.25">
      <c r="B39" s="886" t="s">
        <v>291</v>
      </c>
      <c r="C39" s="887">
        <v>0.54513888888888884</v>
      </c>
      <c r="D39" s="892">
        <v>46097</v>
      </c>
      <c r="E39" s="893">
        <v>33</v>
      </c>
      <c r="F39" s="891">
        <v>2679</v>
      </c>
      <c r="G39" s="894">
        <v>6</v>
      </c>
      <c r="H39" s="891">
        <v>11784</v>
      </c>
      <c r="I39" s="891"/>
      <c r="J39" s="891" t="s">
        <v>383</v>
      </c>
      <c r="K39" s="891"/>
    </row>
    <row r="40" spans="2:11" ht="15.75" x14ac:dyDescent="0.25">
      <c r="B40" s="884"/>
      <c r="C40" s="887">
        <v>0.48472222222222222</v>
      </c>
      <c r="D40" s="892">
        <v>46101</v>
      </c>
      <c r="E40" s="893">
        <v>41</v>
      </c>
      <c r="F40" s="891">
        <v>2688</v>
      </c>
      <c r="G40" s="894">
        <v>9</v>
      </c>
      <c r="H40" s="891">
        <v>12783</v>
      </c>
      <c r="I40" s="891"/>
      <c r="J40" s="891" t="s">
        <v>383</v>
      </c>
      <c r="K40" s="891"/>
    </row>
    <row r="41" spans="2:11" ht="15.75" x14ac:dyDescent="0.25">
      <c r="B41" s="884"/>
      <c r="C41" s="887"/>
      <c r="D41" s="892"/>
      <c r="E41" s="893"/>
      <c r="F41" s="891"/>
      <c r="G41" s="894"/>
      <c r="H41" s="891"/>
      <c r="I41" s="891"/>
      <c r="J41" s="891"/>
      <c r="K41" s="891"/>
    </row>
    <row r="42" spans="2:11" ht="15.75" x14ac:dyDescent="0.25">
      <c r="B42" s="886" t="s">
        <v>292</v>
      </c>
      <c r="C42" s="887">
        <v>0.40277777777777779</v>
      </c>
      <c r="D42" s="892">
        <v>46100</v>
      </c>
      <c r="E42" s="893">
        <v>10</v>
      </c>
      <c r="F42" s="891">
        <v>1015</v>
      </c>
      <c r="G42" s="894">
        <v>7</v>
      </c>
      <c r="H42" s="891">
        <v>12919</v>
      </c>
      <c r="I42" s="891" t="s">
        <v>149</v>
      </c>
      <c r="J42" s="891" t="s">
        <v>398</v>
      </c>
      <c r="K42" s="891"/>
    </row>
    <row r="43" spans="2:11" ht="15.75" x14ac:dyDescent="0.25">
      <c r="B43" s="884"/>
      <c r="C43" s="887">
        <v>0.46041666666666664</v>
      </c>
      <c r="D43" s="892">
        <v>46101</v>
      </c>
      <c r="E43" s="893">
        <v>13</v>
      </c>
      <c r="F43" s="891">
        <v>1021</v>
      </c>
      <c r="G43" s="894">
        <v>6</v>
      </c>
      <c r="H43" s="891">
        <v>12919</v>
      </c>
      <c r="I43" s="891"/>
      <c r="J43" s="891" t="s">
        <v>383</v>
      </c>
      <c r="K43" s="891"/>
    </row>
    <row r="44" spans="2:11" ht="15.75" x14ac:dyDescent="0.25">
      <c r="B44" s="884"/>
      <c r="C44" s="887"/>
      <c r="D44" s="892"/>
      <c r="E44" s="893"/>
      <c r="F44" s="891"/>
      <c r="G44" s="894"/>
      <c r="H44" s="891"/>
      <c r="I44" s="891"/>
      <c r="J44" s="891"/>
      <c r="K44" s="891"/>
    </row>
    <row r="45" spans="2:11" ht="15.75" x14ac:dyDescent="0.25">
      <c r="B45" s="886" t="s">
        <v>293</v>
      </c>
      <c r="C45" s="887">
        <v>0.32291666666666669</v>
      </c>
      <c r="D45" s="892">
        <v>46097</v>
      </c>
      <c r="E45" s="893">
        <v>50</v>
      </c>
      <c r="F45" s="891">
        <v>0</v>
      </c>
      <c r="G45" s="894">
        <v>0</v>
      </c>
      <c r="H45" s="891">
        <v>11782</v>
      </c>
      <c r="I45" s="891" t="s">
        <v>383</v>
      </c>
      <c r="J45" s="891"/>
      <c r="K45" s="891"/>
    </row>
    <row r="46" spans="2:11" ht="15.75" x14ac:dyDescent="0.25">
      <c r="B46" s="884"/>
      <c r="C46" s="887">
        <v>0.56597222222222221</v>
      </c>
      <c r="D46" s="892">
        <v>46099</v>
      </c>
      <c r="E46" s="893">
        <v>8</v>
      </c>
      <c r="F46" s="891">
        <v>0</v>
      </c>
      <c r="G46" s="894">
        <v>0</v>
      </c>
      <c r="H46" s="891">
        <v>12757</v>
      </c>
      <c r="I46" s="891" t="s">
        <v>383</v>
      </c>
      <c r="J46" s="891" t="s">
        <v>576</v>
      </c>
      <c r="K46" s="891"/>
    </row>
    <row r="47" spans="2:11" ht="15.75" x14ac:dyDescent="0.25">
      <c r="B47" s="884"/>
      <c r="C47" s="887">
        <v>0.47499999999999998</v>
      </c>
      <c r="D47" s="892">
        <v>46101</v>
      </c>
      <c r="E47" s="893">
        <v>29</v>
      </c>
      <c r="F47" s="891">
        <v>0</v>
      </c>
      <c r="G47" s="894">
        <v>0</v>
      </c>
      <c r="H47" s="891">
        <v>12781</v>
      </c>
      <c r="I47" s="891" t="s">
        <v>383</v>
      </c>
      <c r="J47" s="891" t="s">
        <v>168</v>
      </c>
      <c r="K47" s="891"/>
    </row>
    <row r="48" spans="2:11" ht="15.75" x14ac:dyDescent="0.25">
      <c r="B48" s="884"/>
      <c r="C48" s="887"/>
      <c r="D48" s="892"/>
      <c r="E48" s="893"/>
      <c r="F48" s="891"/>
      <c r="G48" s="894"/>
      <c r="H48" s="891"/>
      <c r="I48" s="891"/>
      <c r="J48" s="891"/>
      <c r="K48" s="891"/>
    </row>
    <row r="49" spans="2:11" ht="15.75" x14ac:dyDescent="0.25">
      <c r="B49" s="884"/>
      <c r="C49" s="887"/>
      <c r="D49" s="892"/>
      <c r="E49" s="893"/>
      <c r="F49" s="891"/>
      <c r="G49" s="894"/>
      <c r="H49" s="891"/>
      <c r="I49" s="891"/>
      <c r="J49" s="891"/>
      <c r="K49" s="891"/>
    </row>
    <row r="50" spans="2:11" ht="15.75" x14ac:dyDescent="0.25">
      <c r="B50" s="884"/>
      <c r="C50" s="887"/>
      <c r="D50" s="892"/>
      <c r="E50" s="893"/>
      <c r="F50" s="891"/>
      <c r="G50" s="894"/>
      <c r="H50" s="891"/>
      <c r="I50" s="891"/>
      <c r="J50" s="891"/>
      <c r="K50" s="891"/>
    </row>
    <row r="51" spans="2:11" ht="15.75" x14ac:dyDescent="0.25">
      <c r="B51" s="895" t="s">
        <v>281</v>
      </c>
      <c r="C51" s="896"/>
      <c r="D51" s="897"/>
      <c r="E51" s="898"/>
      <c r="F51" s="891"/>
      <c r="G51" s="894"/>
      <c r="H51" s="891"/>
      <c r="I51" s="891"/>
      <c r="J51" s="891"/>
      <c r="K51" s="891"/>
    </row>
    <row r="52" spans="2:11" ht="15.75" x14ac:dyDescent="0.25">
      <c r="B52" s="886" t="s">
        <v>282</v>
      </c>
      <c r="C52" s="899">
        <v>131</v>
      </c>
      <c r="D52" s="892"/>
      <c r="E52" s="893"/>
      <c r="F52" s="891"/>
      <c r="G52" s="894"/>
      <c r="H52" s="891"/>
      <c r="I52" s="891"/>
      <c r="J52" s="891"/>
      <c r="K52" s="891"/>
    </row>
    <row r="53" spans="2:11" ht="15.75" x14ac:dyDescent="0.25">
      <c r="B53" s="886" t="s">
        <v>86</v>
      </c>
      <c r="C53" s="899">
        <f>E8+E9+E10</f>
        <v>138</v>
      </c>
      <c r="D53" s="892"/>
      <c r="E53" s="893"/>
      <c r="F53" s="891"/>
      <c r="G53" s="894"/>
      <c r="H53" s="891"/>
      <c r="I53" s="891"/>
      <c r="J53" s="891"/>
      <c r="K53" s="891"/>
    </row>
    <row r="54" spans="2:11" ht="15.75" x14ac:dyDescent="0.25">
      <c r="B54" s="886" t="s">
        <v>283</v>
      </c>
      <c r="C54" s="899">
        <f>E13+E14+E15</f>
        <v>270</v>
      </c>
      <c r="D54" s="892"/>
      <c r="E54" s="893"/>
      <c r="F54" s="891"/>
      <c r="G54" s="894"/>
      <c r="H54" s="891"/>
      <c r="I54" s="891"/>
      <c r="J54" s="891"/>
      <c r="K54" s="891"/>
    </row>
    <row r="55" spans="2:11" ht="15.75" x14ac:dyDescent="0.25">
      <c r="B55" s="886" t="s">
        <v>284</v>
      </c>
      <c r="C55" s="899">
        <f>E18+E19+E20</f>
        <v>292</v>
      </c>
      <c r="D55" s="892"/>
      <c r="E55" s="893"/>
      <c r="F55" s="891"/>
      <c r="G55" s="894"/>
      <c r="H55" s="891"/>
      <c r="I55" s="891"/>
      <c r="J55" s="891"/>
      <c r="K55" s="891"/>
    </row>
    <row r="56" spans="2:11" ht="15.75" x14ac:dyDescent="0.25">
      <c r="B56" s="886" t="s">
        <v>115</v>
      </c>
      <c r="C56" s="899">
        <f>E22+E23</f>
        <v>70</v>
      </c>
      <c r="D56" s="892"/>
      <c r="E56" s="893"/>
      <c r="F56" s="891"/>
      <c r="G56" s="894"/>
      <c r="H56" s="891"/>
      <c r="I56" s="891"/>
      <c r="J56" s="891"/>
      <c r="K56" s="891"/>
    </row>
    <row r="57" spans="2:11" ht="15.75" x14ac:dyDescent="0.25">
      <c r="B57" s="886" t="s">
        <v>285</v>
      </c>
      <c r="C57" s="899">
        <f>E25+E26</f>
        <v>628</v>
      </c>
      <c r="D57" s="892"/>
      <c r="E57" s="893"/>
      <c r="F57" s="891"/>
      <c r="G57" s="894"/>
      <c r="H57" s="891"/>
      <c r="I57" s="891"/>
      <c r="J57" s="891"/>
      <c r="K57" s="891"/>
    </row>
    <row r="58" spans="2:11" ht="15.75" x14ac:dyDescent="0.25">
      <c r="B58" s="886" t="s">
        <v>286</v>
      </c>
      <c r="C58" s="899">
        <f>E28+E29</f>
        <v>455</v>
      </c>
      <c r="D58" s="892"/>
      <c r="E58" s="893"/>
      <c r="F58" s="891"/>
      <c r="G58" s="894"/>
      <c r="H58" s="891"/>
      <c r="I58" s="891"/>
      <c r="J58" s="891"/>
      <c r="K58" s="891"/>
    </row>
    <row r="59" spans="2:11" ht="15.75" x14ac:dyDescent="0.25">
      <c r="B59" s="886" t="s">
        <v>287</v>
      </c>
      <c r="C59" s="899">
        <f>E31</f>
        <v>63</v>
      </c>
      <c r="D59" s="892"/>
      <c r="E59" s="893"/>
      <c r="F59" s="891"/>
      <c r="G59" s="894"/>
      <c r="H59" s="891"/>
      <c r="I59" s="891"/>
      <c r="J59" s="891"/>
      <c r="K59" s="891"/>
    </row>
    <row r="60" spans="2:11" ht="15.75" x14ac:dyDescent="0.25">
      <c r="B60" s="886" t="s">
        <v>288</v>
      </c>
      <c r="C60" s="899">
        <f>E33</f>
        <v>102</v>
      </c>
      <c r="D60" s="892"/>
      <c r="E60" s="893"/>
      <c r="F60" s="891"/>
      <c r="G60" s="894"/>
      <c r="H60" s="891"/>
      <c r="I60" s="891"/>
      <c r="J60" s="891"/>
      <c r="K60" s="891"/>
    </row>
    <row r="61" spans="2:11" ht="15.75" x14ac:dyDescent="0.25">
      <c r="B61" s="886" t="s">
        <v>289</v>
      </c>
      <c r="C61" s="899">
        <f>E35</f>
        <v>96</v>
      </c>
      <c r="D61" s="892"/>
      <c r="E61" s="893"/>
      <c r="F61" s="891"/>
      <c r="G61" s="894"/>
      <c r="H61" s="891"/>
      <c r="I61" s="891"/>
      <c r="J61" s="891"/>
      <c r="K61" s="891"/>
    </row>
    <row r="62" spans="2:11" ht="15.75" x14ac:dyDescent="0.25">
      <c r="B62" s="886" t="s">
        <v>290</v>
      </c>
      <c r="C62" s="899">
        <f>E37</f>
        <v>52</v>
      </c>
      <c r="D62" s="892"/>
      <c r="E62" s="893"/>
      <c r="F62" s="891"/>
      <c r="G62" s="894"/>
      <c r="H62" s="891"/>
      <c r="I62" s="891"/>
      <c r="J62" s="891"/>
      <c r="K62" s="891"/>
    </row>
    <row r="63" spans="2:11" ht="15.75" x14ac:dyDescent="0.25">
      <c r="B63" s="886" t="s">
        <v>291</v>
      </c>
      <c r="C63" s="899">
        <f>E39+E40</f>
        <v>74</v>
      </c>
      <c r="D63" s="892"/>
      <c r="E63" s="893"/>
      <c r="F63" s="891"/>
      <c r="G63" s="894"/>
      <c r="H63" s="891"/>
      <c r="I63" s="891"/>
      <c r="J63" s="891"/>
      <c r="K63" s="891"/>
    </row>
    <row r="64" spans="2:11" ht="15.75" x14ac:dyDescent="0.25">
      <c r="B64" s="886" t="s">
        <v>292</v>
      </c>
      <c r="C64" s="899">
        <f>E42+E43</f>
        <v>23</v>
      </c>
      <c r="D64" s="892"/>
      <c r="E64" s="893"/>
      <c r="F64" s="891"/>
      <c r="G64" s="894"/>
      <c r="H64" s="891"/>
      <c r="I64" s="891"/>
      <c r="J64" s="891"/>
      <c r="K64" s="891"/>
    </row>
    <row r="65" spans="2:11" ht="15.75" x14ac:dyDescent="0.25">
      <c r="B65" s="886" t="s">
        <v>293</v>
      </c>
      <c r="C65" s="899">
        <f>E45+E46+E47</f>
        <v>87</v>
      </c>
      <c r="D65" s="892"/>
      <c r="E65" s="893"/>
      <c r="F65" s="891"/>
      <c r="G65" s="894"/>
      <c r="H65" s="891"/>
      <c r="I65" s="891"/>
      <c r="J65" s="891"/>
      <c r="K65" s="891"/>
    </row>
    <row r="66" spans="2:11" ht="15.75" x14ac:dyDescent="0.25">
      <c r="B66" s="884"/>
      <c r="C66" s="899">
        <f>SUM(C52:C65)</f>
        <v>2481</v>
      </c>
      <c r="D66" s="892"/>
      <c r="E66" s="893"/>
      <c r="F66" s="891"/>
      <c r="G66" s="894"/>
      <c r="H66" s="891"/>
      <c r="I66" s="891"/>
      <c r="J66" s="891"/>
      <c r="K66" s="8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CARGAS GENERAL (1)</vt:lpstr>
      <vt:lpstr>RESUMEN TALLER (2)</vt:lpstr>
      <vt:lpstr>CARGAS CAMIONES (3)</vt:lpstr>
      <vt:lpstr>CARGAS MAQUINAS</vt:lpstr>
      <vt:lpstr>DETALLE MAQUINAS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breth velazquez</dc:creator>
  <cp:lastModifiedBy>breth velazquez</cp:lastModifiedBy>
  <dcterms:created xsi:type="dcterms:W3CDTF">2026-03-25T17:05:43Z</dcterms:created>
  <dcterms:modified xsi:type="dcterms:W3CDTF">2026-03-25T19:05:43Z</dcterms:modified>
</cp:coreProperties>
</file>