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wb taller\Desktop\WB TALLER\NISSAN DIESEL\"/>
    </mc:Choice>
  </mc:AlternateContent>
  <xr:revisionPtr revIDLastSave="0" documentId="13_ncr:1_{68A2D57E-D993-44F7-9E6F-0A6EF3609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8" r:id="rId1"/>
    <sheet name="Hoja1" sheetId="9" r:id="rId2"/>
    <sheet name="Hoja2" sheetId="10" r:id="rId3"/>
  </sheets>
  <definedNames>
    <definedName name="_xlnm.Print_Area" localSheetId="0">REPORTE!$A$2:$Q$62</definedName>
    <definedName name="_xlnm.Print_Titles" localSheetId="0">REPORTE!$D:$K,REPORTE!$3:$9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8" l="1"/>
  <c r="I102" i="8"/>
  <c r="I97" i="8"/>
  <c r="I93" i="8"/>
  <c r="O90" i="8"/>
  <c r="O91" i="8" s="1"/>
  <c r="O92" i="8" s="1"/>
  <c r="I83" i="8"/>
  <c r="I76" i="8"/>
  <c r="O78" i="8" s="1"/>
  <c r="O64" i="8"/>
  <c r="O65" i="8" s="1"/>
  <c r="I71" i="8"/>
  <c r="I67" i="8"/>
  <c r="I62" i="8"/>
  <c r="I56" i="8"/>
  <c r="I52" i="8"/>
  <c r="O45" i="8"/>
  <c r="I47" i="8" s="1"/>
  <c r="O49" i="8" s="1"/>
  <c r="O50" i="8" s="1"/>
  <c r="O51" i="8" s="1"/>
  <c r="I42" i="8"/>
  <c r="I38" i="8"/>
  <c r="O28" i="8"/>
  <c r="O29" i="8" s="1"/>
  <c r="O30" i="8" s="1"/>
  <c r="O31" i="8" s="1"/>
  <c r="O32" i="8" s="1"/>
  <c r="O33" i="8" s="1"/>
  <c r="O34" i="8" s="1"/>
  <c r="O35" i="8" s="1"/>
  <c r="O36" i="8" s="1"/>
  <c r="O37" i="8" s="1"/>
  <c r="O27" i="8"/>
  <c r="O10" i="8"/>
  <c r="O11" i="8" s="1"/>
  <c r="O12" i="8" s="1"/>
  <c r="O13" i="8" s="1"/>
  <c r="O14" i="8" s="1"/>
  <c r="O15" i="8" s="1"/>
  <c r="I19" i="8"/>
  <c r="I18" i="8"/>
  <c r="I16" i="8"/>
  <c r="I20" i="8" l="1"/>
  <c r="F24" i="10"/>
  <c r="F26" i="10" s="1"/>
  <c r="G11" i="10" l="1"/>
  <c r="F11" i="10"/>
  <c r="I9" i="9" l="1"/>
  <c r="I8" i="9"/>
  <c r="I11" i="9" l="1"/>
</calcChain>
</file>

<file path=xl/sharedStrings.xml><?xml version="1.0" encoding="utf-8"?>
<sst xmlns="http://schemas.openxmlformats.org/spreadsheetml/2006/main" count="264" uniqueCount="108">
  <si>
    <t>FECHA</t>
  </si>
  <si>
    <t>REPORTE</t>
  </si>
  <si>
    <t>#02</t>
  </si>
  <si>
    <t>#03</t>
  </si>
  <si>
    <t>PENDIENTE</t>
  </si>
  <si>
    <t>#01</t>
  </si>
  <si>
    <t>PERIODO</t>
  </si>
  <si>
    <t>MONTO</t>
  </si>
  <si>
    <t>24Sep - 01Oct</t>
  </si>
  <si>
    <t>17 - 24Sep</t>
  </si>
  <si>
    <t>01 - 08 Oct</t>
  </si>
  <si>
    <t>TOTAL PENDIENTE</t>
  </si>
  <si>
    <t>RECIBIDO CHEQUE</t>
  </si>
  <si>
    <t>retiroa</t>
  </si>
  <si>
    <t>relleno</t>
  </si>
  <si>
    <t>chav</t>
  </si>
  <si>
    <t>ramon</t>
  </si>
  <si>
    <t>benito</t>
  </si>
  <si>
    <t>LITROS</t>
  </si>
  <si>
    <t>Transferencia 1</t>
  </si>
  <si>
    <t>Costo del equipo</t>
  </si>
  <si>
    <t>Flete a frontera</t>
  </si>
  <si>
    <t>importacion</t>
  </si>
  <si>
    <t>Total</t>
  </si>
  <si>
    <t>Saldo</t>
  </si>
  <si>
    <t>#</t>
  </si>
  <si>
    <t>UNIDAD</t>
  </si>
  <si>
    <t>OPERADOR</t>
  </si>
  <si>
    <t>HORA</t>
  </si>
  <si>
    <t xml:space="preserve">FOLIO </t>
  </si>
  <si>
    <t>KMS/HRS</t>
  </si>
  <si>
    <t>CA30</t>
  </si>
  <si>
    <t>Chuy</t>
  </si>
  <si>
    <t>CUENTAL</t>
  </si>
  <si>
    <t>CUENTAL2</t>
  </si>
  <si>
    <t>CA29</t>
  </si>
  <si>
    <t>Belmares</t>
  </si>
  <si>
    <t>CA25</t>
  </si>
  <si>
    <t>Niño</t>
  </si>
  <si>
    <t>CA32</t>
  </si>
  <si>
    <t>Tomas</t>
  </si>
  <si>
    <t>EX02 PC88</t>
  </si>
  <si>
    <t>OBRA</t>
  </si>
  <si>
    <t>OBSERVACIONES</t>
  </si>
  <si>
    <t>ROBLE</t>
  </si>
  <si>
    <t>INCASA</t>
  </si>
  <si>
    <t>NOVUS</t>
  </si>
  <si>
    <t>Gustavo</t>
  </si>
  <si>
    <t>VALLE REAL</t>
  </si>
  <si>
    <t>RESUMEN CARGAS NISSAN03 MARGARITO ( JULIO )</t>
  </si>
  <si>
    <t>SUMINISTRADO</t>
  </si>
  <si>
    <t>CUENTALITROS INICIO</t>
  </si>
  <si>
    <t>CUENTALITROS FINAL</t>
  </si>
  <si>
    <t>CAP.</t>
  </si>
  <si>
    <t>CARGA ANTERIOR</t>
  </si>
  <si>
    <t>CARGA ACTUAL</t>
  </si>
  <si>
    <t>DISPONIBLE ACTUAL</t>
  </si>
  <si>
    <t>REMANENTE ACTUAL : 578</t>
  </si>
  <si>
    <t>FOLIO:</t>
  </si>
  <si>
    <t>EX09 PC130</t>
  </si>
  <si>
    <t>CARLOS M</t>
  </si>
  <si>
    <t>LAS VELAS</t>
  </si>
  <si>
    <t>CA17</t>
  </si>
  <si>
    <t>JULIO</t>
  </si>
  <si>
    <t>CA08</t>
  </si>
  <si>
    <t>CHRISTOPHER</t>
  </si>
  <si>
    <t>CA28</t>
  </si>
  <si>
    <t>LUIS G</t>
  </si>
  <si>
    <t>ZAIRE</t>
  </si>
  <si>
    <t>TOMAS</t>
  </si>
  <si>
    <t>CHUY</t>
  </si>
  <si>
    <t>CA19</t>
  </si>
  <si>
    <t>JOSE INES</t>
  </si>
  <si>
    <t>CA22</t>
  </si>
  <si>
    <t>VICTOR DURAN</t>
  </si>
  <si>
    <t>CA15</t>
  </si>
  <si>
    <t>FRANCISCO</t>
  </si>
  <si>
    <t>CA34</t>
  </si>
  <si>
    <t>JUAN OLGUIN</t>
  </si>
  <si>
    <t>ACRA</t>
  </si>
  <si>
    <t>NISSAN  03</t>
  </si>
  <si>
    <t>MAGO</t>
  </si>
  <si>
    <t xml:space="preserve">REMANENTE ACTUAL : </t>
  </si>
  <si>
    <t>**SEGÚN LOS NUMEROS DEBERIA TRAER 97</t>
  </si>
  <si>
    <t>BELMARES</t>
  </si>
  <si>
    <t>IVAN NIÑO</t>
  </si>
  <si>
    <t>(651 LT CARGA+ 578 REMANENTE)</t>
  </si>
  <si>
    <t>(1229 LITROS TEORICOS) TOPE 1200</t>
  </si>
  <si>
    <t>(237 LT CARGA+ 97 REMANENTE)</t>
  </si>
  <si>
    <t>REPORTA MAGO TANQUE VACIO CON ESTA CARGA</t>
  </si>
  <si>
    <t>CARGA ACTUAL OXXO</t>
  </si>
  <si>
    <t>(370 LT CARGA ,  0 REMANENTE)</t>
  </si>
  <si>
    <t>TICKET:</t>
  </si>
  <si>
    <t>*REPORTA MAGO TANQUE VACIO</t>
  </si>
  <si>
    <t>CA04</t>
  </si>
  <si>
    <t>BENITO</t>
  </si>
  <si>
    <t>EX14- PC200</t>
  </si>
  <si>
    <t>TOBIAS</t>
  </si>
  <si>
    <t>SANTUARIO</t>
  </si>
  <si>
    <t>*DIESEL OXXOGAS</t>
  </si>
  <si>
    <t>DISP. TEORICO</t>
  </si>
  <si>
    <t>CARGA ANTERIOR OXXO</t>
  </si>
  <si>
    <t>(96 LT CARGA + 11 REMANENTE)</t>
  </si>
  <si>
    <t>DOMICILIO</t>
  </si>
  <si>
    <t xml:space="preserve">REMANENTE ANTERIOR: </t>
  </si>
  <si>
    <t>REMANENTE ANTERIOR: 505LT</t>
  </si>
  <si>
    <t>(220 LT CARGA + 255 REMANENTE)</t>
  </si>
  <si>
    <t>(595 LT CARGA, 0 REMANENTE)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</si>
</sst>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6"/>
      <name val="Trebuchet MS"/>
      <family val="2"/>
    </font>
    <font>
      <b/>
      <sz val="20"/>
      <name val="Trebuchet MS"/>
      <family val="2"/>
    </font>
    <font>
      <b/>
      <sz val="16"/>
      <color rgb="FF00B050"/>
      <name val="Trebuchet MS"/>
      <family val="2"/>
    </font>
    <font>
      <b/>
      <sz val="16"/>
      <color theme="5" tint="-0.249977111117893"/>
      <name val="Trebuchet MS"/>
      <family val="2"/>
    </font>
    <font>
      <sz val="20"/>
      <name val="Trebuchet MS"/>
      <family val="2"/>
    </font>
    <font>
      <b/>
      <sz val="20"/>
      <color theme="0"/>
      <name val="Trebuchet MS"/>
      <family val="2"/>
    </font>
    <font>
      <sz val="20"/>
      <color rgb="FFFF0000"/>
      <name val="Trebuchet MS"/>
      <family val="2"/>
    </font>
    <font>
      <sz val="20"/>
      <color theme="9" tint="-0.249977111117893"/>
      <name val="Trebuchet MS"/>
      <family val="2"/>
    </font>
    <font>
      <b/>
      <sz val="20"/>
      <color theme="9" tint="-0.249977111117893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4">
    <xf numFmtId="0" fontId="0" fillId="0" borderId="0" xfId="0"/>
    <xf numFmtId="0" fontId="3" fillId="0" borderId="4" xfId="0" applyFont="1" applyBorder="1" applyAlignment="1">
      <alignment horizontal="center" vertical="center"/>
    </xf>
    <xf numFmtId="4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" fontId="3" fillId="0" borderId="9" xfId="0" applyNumberFormat="1" applyFont="1" applyBorder="1" applyAlignment="1">
      <alignment horizontal="center" vertical="center"/>
    </xf>
    <xf numFmtId="164" fontId="3" fillId="0" borderId="9" xfId="1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/>
    </xf>
    <xf numFmtId="44" fontId="3" fillId="3" borderId="9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4" fontId="3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4" fontId="5" fillId="0" borderId="9" xfId="1" applyFont="1" applyFill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16" fontId="5" fillId="0" borderId="9" xfId="0" applyNumberFormat="1" applyFont="1" applyBorder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7" fillId="0" borderId="0" xfId="0" applyFont="1"/>
    <xf numFmtId="1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center" vertical="center"/>
    </xf>
    <xf numFmtId="20" fontId="7" fillId="0" borderId="11" xfId="0" applyNumberFormat="1" applyFont="1" applyBorder="1" applyAlignment="1">
      <alignment horizontal="center" vertical="center"/>
    </xf>
    <xf numFmtId="16" fontId="7" fillId="0" borderId="1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/>
    </xf>
    <xf numFmtId="164" fontId="3" fillId="0" borderId="5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3" borderId="4" xfId="1" applyFont="1" applyFill="1" applyBorder="1" applyAlignment="1">
      <alignment horizontal="center" vertical="center"/>
    </xf>
    <xf numFmtId="164" fontId="3" fillId="3" borderId="5" xfId="1" applyFont="1" applyFill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Continuous" vertical="center"/>
    </xf>
    <xf numFmtId="0" fontId="7" fillId="6" borderId="10" xfId="0" applyFont="1" applyFill="1" applyBorder="1" applyAlignment="1">
      <alignment horizontal="centerContinuous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right" vertical="center" wrapText="1"/>
    </xf>
    <xf numFmtId="16" fontId="11" fillId="0" borderId="2" xfId="0" applyNumberFormat="1" applyFont="1" applyBorder="1" applyAlignment="1">
      <alignment horizontal="center" vertical="center"/>
    </xf>
    <xf numFmtId="6" fontId="10" fillId="0" borderId="10" xfId="0" applyNumberFormat="1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FF0000"/>
      <color rgb="FFFFFF99"/>
      <color rgb="FF0D18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423751</xdr:colOff>
      <xdr:row>7</xdr:row>
      <xdr:rowOff>69273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0"/>
          <a:ext cx="2640478" cy="1610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P140"/>
  <sheetViews>
    <sheetView tabSelected="1" topLeftCell="A3" zoomScale="55" zoomScaleNormal="55" zoomScaleSheetLayoutView="70" zoomScalePageLayoutView="55" workbookViewId="0">
      <selection activeCell="K17" sqref="K17"/>
    </sheetView>
  </sheetViews>
  <sheetFormatPr baseColWidth="10" defaultColWidth="9.140625" defaultRowHeight="27.75" x14ac:dyDescent="0.45"/>
  <cols>
    <col min="1" max="2" width="0.140625" style="18" customWidth="1"/>
    <col min="3" max="3" width="0.42578125" style="18" customWidth="1"/>
    <col min="4" max="4" width="8.42578125" style="18" customWidth="1"/>
    <col min="5" max="5" width="24.140625" style="18" customWidth="1"/>
    <col min="6" max="6" width="18.85546875" style="18" customWidth="1"/>
    <col min="7" max="7" width="19" style="18" customWidth="1"/>
    <col min="8" max="8" width="45.7109375" style="18" customWidth="1"/>
    <col min="9" max="9" width="16.85546875" style="18" customWidth="1"/>
    <col min="10" max="10" width="34.42578125" style="18" customWidth="1"/>
    <col min="11" max="11" width="34" style="18" customWidth="1"/>
    <col min="12" max="12" width="19.140625" style="34" customWidth="1"/>
    <col min="13" max="13" width="21.42578125" style="34" bestFit="1" customWidth="1"/>
    <col min="14" max="14" width="26.85546875" style="34" customWidth="1"/>
    <col min="15" max="15" width="30" style="34" bestFit="1" customWidth="1"/>
    <col min="16" max="16" width="90.28515625" style="34" bestFit="1" customWidth="1"/>
    <col min="17" max="16384" width="9.140625" style="18"/>
  </cols>
  <sheetData>
    <row r="1" spans="4:16" ht="5.25" hidden="1" customHeight="1" x14ac:dyDescent="0.45"/>
    <row r="2" spans="4:16" ht="8.25" hidden="1" customHeight="1" x14ac:dyDescent="0.45"/>
    <row r="3" spans="4:16" ht="24.75" customHeight="1" x14ac:dyDescent="0.45"/>
    <row r="4" spans="4:16" ht="30" customHeight="1" x14ac:dyDescent="0.45">
      <c r="H4" s="19" t="s">
        <v>49</v>
      </c>
    </row>
    <row r="5" spans="4:16" ht="34.5" customHeight="1" x14ac:dyDescent="0.45"/>
    <row r="6" spans="4:16" ht="21" hidden="1" customHeight="1" x14ac:dyDescent="0.45"/>
    <row r="7" spans="4:16" ht="32.25" customHeight="1" x14ac:dyDescent="0.45">
      <c r="L7" s="34" t="s">
        <v>53</v>
      </c>
      <c r="M7" s="34">
        <v>1200</v>
      </c>
    </row>
    <row r="8" spans="4:16" ht="9.75" customHeight="1" thickBot="1" x14ac:dyDescent="0.5">
      <c r="H8" s="20"/>
      <c r="I8" s="21"/>
      <c r="J8" s="22"/>
      <c r="K8" s="22"/>
      <c r="L8" s="35"/>
      <c r="M8" s="35"/>
      <c r="N8" s="35"/>
      <c r="O8" s="35"/>
      <c r="P8" s="35"/>
    </row>
    <row r="9" spans="4:16" x14ac:dyDescent="0.45">
      <c r="D9" s="23" t="s">
        <v>25</v>
      </c>
      <c r="E9" s="23" t="s">
        <v>29</v>
      </c>
      <c r="F9" s="23" t="s">
        <v>28</v>
      </c>
      <c r="G9" s="23" t="s">
        <v>0</v>
      </c>
      <c r="H9" s="23" t="s">
        <v>26</v>
      </c>
      <c r="I9" s="24" t="s">
        <v>18</v>
      </c>
      <c r="J9" s="23" t="s">
        <v>30</v>
      </c>
      <c r="K9" s="25" t="s">
        <v>27</v>
      </c>
      <c r="L9" s="25" t="s">
        <v>33</v>
      </c>
      <c r="M9" s="23" t="s">
        <v>34</v>
      </c>
      <c r="N9" s="23" t="s">
        <v>42</v>
      </c>
      <c r="O9" s="23" t="s">
        <v>100</v>
      </c>
      <c r="P9" s="23" t="s">
        <v>43</v>
      </c>
    </row>
    <row r="10" spans="4:16" ht="40.5" customHeight="1" x14ac:dyDescent="0.45">
      <c r="D10" s="26"/>
      <c r="E10" s="26">
        <v>15213</v>
      </c>
      <c r="F10" s="32">
        <v>0.27500000000000002</v>
      </c>
      <c r="G10" s="33">
        <v>46214</v>
      </c>
      <c r="H10" s="55" t="s">
        <v>31</v>
      </c>
      <c r="I10" s="56">
        <v>120</v>
      </c>
      <c r="J10" s="56">
        <v>133917</v>
      </c>
      <c r="K10" s="30" t="s">
        <v>32</v>
      </c>
      <c r="L10" s="36">
        <v>950648</v>
      </c>
      <c r="M10" s="36">
        <v>950769</v>
      </c>
      <c r="N10" s="36" t="s">
        <v>44</v>
      </c>
      <c r="O10" s="36">
        <f>M7-I10</f>
        <v>1080</v>
      </c>
      <c r="P10" s="36"/>
    </row>
    <row r="11" spans="4:16" ht="40.5" customHeight="1" x14ac:dyDescent="0.45">
      <c r="D11" s="26"/>
      <c r="E11" s="26">
        <v>15214</v>
      </c>
      <c r="F11" s="32">
        <v>0.28263888888888888</v>
      </c>
      <c r="G11" s="33">
        <v>46214</v>
      </c>
      <c r="H11" s="55" t="s">
        <v>35</v>
      </c>
      <c r="I11" s="56">
        <v>100</v>
      </c>
      <c r="J11" s="56">
        <v>85210</v>
      </c>
      <c r="K11" s="30" t="s">
        <v>36</v>
      </c>
      <c r="L11" s="36">
        <v>950768</v>
      </c>
      <c r="M11" s="36">
        <v>950868</v>
      </c>
      <c r="N11" s="36" t="s">
        <v>44</v>
      </c>
      <c r="O11" s="36">
        <f>O10-I11</f>
        <v>980</v>
      </c>
      <c r="P11" s="36"/>
    </row>
    <row r="12" spans="4:16" ht="40.5" customHeight="1" x14ac:dyDescent="0.45">
      <c r="D12" s="26"/>
      <c r="E12" s="26">
        <v>15215</v>
      </c>
      <c r="F12" s="32">
        <v>0.33750000000000002</v>
      </c>
      <c r="G12" s="33">
        <v>46214</v>
      </c>
      <c r="H12" s="55" t="s">
        <v>37</v>
      </c>
      <c r="I12" s="56">
        <v>100</v>
      </c>
      <c r="J12" s="56">
        <v>11703</v>
      </c>
      <c r="K12" s="30" t="s">
        <v>38</v>
      </c>
      <c r="L12" s="36">
        <v>950868</v>
      </c>
      <c r="M12" s="36">
        <v>950968</v>
      </c>
      <c r="N12" s="36" t="s">
        <v>45</v>
      </c>
      <c r="O12" s="36">
        <f>O11-I12</f>
        <v>880</v>
      </c>
      <c r="P12" s="36"/>
    </row>
    <row r="13" spans="4:16" ht="40.5" customHeight="1" x14ac:dyDescent="0.45">
      <c r="D13" s="26"/>
      <c r="E13" s="26">
        <v>15216</v>
      </c>
      <c r="F13" s="32">
        <v>0.37222222222222223</v>
      </c>
      <c r="G13" s="33">
        <v>46214</v>
      </c>
      <c r="H13" s="55" t="s">
        <v>39</v>
      </c>
      <c r="I13" s="56">
        <v>120</v>
      </c>
      <c r="J13" s="56">
        <v>29950</v>
      </c>
      <c r="K13" s="30" t="s">
        <v>40</v>
      </c>
      <c r="L13" s="36">
        <v>950968</v>
      </c>
      <c r="M13" s="36">
        <v>951088</v>
      </c>
      <c r="N13" s="36" t="s">
        <v>46</v>
      </c>
      <c r="O13" s="36">
        <f>O12-I13</f>
        <v>760</v>
      </c>
      <c r="P13" s="36"/>
    </row>
    <row r="14" spans="4:16" ht="40.5" customHeight="1" x14ac:dyDescent="0.45">
      <c r="D14" s="26"/>
      <c r="E14" s="26">
        <v>15217</v>
      </c>
      <c r="F14" s="32">
        <v>0.40972222222222221</v>
      </c>
      <c r="G14" s="33">
        <v>46214</v>
      </c>
      <c r="H14" s="55" t="s">
        <v>41</v>
      </c>
      <c r="I14" s="56">
        <v>82</v>
      </c>
      <c r="J14" s="56">
        <v>5452</v>
      </c>
      <c r="K14" s="30" t="s">
        <v>47</v>
      </c>
      <c r="L14" s="36">
        <v>951088</v>
      </c>
      <c r="M14" s="36">
        <v>951170</v>
      </c>
      <c r="N14" s="36" t="s">
        <v>48</v>
      </c>
      <c r="O14" s="36">
        <f>O13-I14</f>
        <v>678</v>
      </c>
      <c r="P14" s="36"/>
    </row>
    <row r="15" spans="4:16" ht="40.5" customHeight="1" x14ac:dyDescent="0.45">
      <c r="D15" s="26"/>
      <c r="E15" s="26">
        <v>15218</v>
      </c>
      <c r="F15" s="32">
        <v>0.28680555555555554</v>
      </c>
      <c r="G15" s="33">
        <v>46216</v>
      </c>
      <c r="H15" s="55" t="s">
        <v>37</v>
      </c>
      <c r="I15" s="56">
        <v>100</v>
      </c>
      <c r="J15" s="56">
        <v>11819</v>
      </c>
      <c r="K15" s="30" t="s">
        <v>38</v>
      </c>
      <c r="L15" s="36">
        <v>951170</v>
      </c>
      <c r="M15" s="36">
        <v>951270</v>
      </c>
      <c r="N15" s="36" t="s">
        <v>45</v>
      </c>
      <c r="O15" s="36">
        <f>O14-I15</f>
        <v>578</v>
      </c>
      <c r="P15" s="36"/>
    </row>
    <row r="16" spans="4:16" ht="40.5" customHeight="1" x14ac:dyDescent="0.45">
      <c r="D16" s="26"/>
      <c r="E16" s="26"/>
      <c r="F16" s="27"/>
      <c r="G16" s="27"/>
      <c r="H16" s="28" t="s">
        <v>50</v>
      </c>
      <c r="I16" s="29">
        <f>SUM(I10:I15)</f>
        <v>622</v>
      </c>
      <c r="J16" s="29"/>
      <c r="K16" s="30"/>
      <c r="L16" s="36"/>
      <c r="M16" s="36"/>
      <c r="N16" s="36"/>
      <c r="O16" s="36"/>
      <c r="P16" s="36"/>
    </row>
    <row r="17" spans="4:16" ht="40.5" customHeight="1" x14ac:dyDescent="0.45">
      <c r="D17" s="26"/>
      <c r="E17" s="26"/>
      <c r="F17" s="27"/>
      <c r="G17" s="27"/>
      <c r="J17" s="31"/>
      <c r="K17" s="30"/>
      <c r="L17" s="36"/>
      <c r="M17" s="36"/>
      <c r="N17" s="36"/>
      <c r="O17" s="36"/>
      <c r="P17" s="36"/>
    </row>
    <row r="18" spans="4:16" ht="40.5" customHeight="1" x14ac:dyDescent="0.45">
      <c r="D18" s="26"/>
      <c r="E18" s="26"/>
      <c r="F18" s="27"/>
      <c r="G18" s="27"/>
      <c r="H18" s="28" t="s">
        <v>51</v>
      </c>
      <c r="I18" s="29">
        <f>L10</f>
        <v>950648</v>
      </c>
      <c r="J18" s="29"/>
      <c r="K18" s="30"/>
      <c r="L18" s="36"/>
      <c r="M18" s="36"/>
      <c r="N18" s="36"/>
      <c r="O18" s="36"/>
      <c r="P18" s="36"/>
    </row>
    <row r="19" spans="4:16" ht="40.5" customHeight="1" x14ac:dyDescent="0.45">
      <c r="D19" s="26"/>
      <c r="E19" s="26"/>
      <c r="F19" s="27"/>
      <c r="G19" s="27"/>
      <c r="H19" s="28" t="s">
        <v>52</v>
      </c>
      <c r="I19" s="29">
        <f>M15</f>
        <v>951270</v>
      </c>
      <c r="J19" s="31"/>
      <c r="K19" s="30"/>
      <c r="L19" s="36"/>
      <c r="M19" s="36"/>
      <c r="N19" s="36"/>
      <c r="O19" s="36"/>
      <c r="P19" s="36"/>
    </row>
    <row r="20" spans="4:16" ht="40.5" customHeight="1" x14ac:dyDescent="0.45">
      <c r="D20" s="26"/>
      <c r="E20" s="26"/>
      <c r="F20" s="27"/>
      <c r="G20" s="27"/>
      <c r="H20" s="28"/>
      <c r="I20" s="29">
        <f>I19-I18</f>
        <v>622</v>
      </c>
      <c r="J20" s="29"/>
      <c r="K20" s="30"/>
      <c r="L20" s="36"/>
      <c r="M20" s="36"/>
      <c r="N20" s="36"/>
      <c r="O20" s="36"/>
      <c r="P20" s="36"/>
    </row>
    <row r="21" spans="4:16" ht="40.5" customHeight="1" x14ac:dyDescent="0.45">
      <c r="D21" s="26"/>
      <c r="E21" s="26"/>
      <c r="F21" s="27"/>
      <c r="G21" s="27"/>
      <c r="H21" s="28"/>
      <c r="I21" s="29"/>
      <c r="J21" s="29"/>
      <c r="K21" s="30"/>
      <c r="L21" s="36"/>
      <c r="M21" s="36"/>
      <c r="N21" s="36"/>
      <c r="O21" s="36"/>
      <c r="P21" s="36"/>
    </row>
    <row r="22" spans="4:16" ht="40.5" customHeight="1" x14ac:dyDescent="0.45">
      <c r="D22" s="26"/>
      <c r="E22" s="26"/>
      <c r="F22" s="27"/>
      <c r="G22" s="27"/>
      <c r="H22" s="28" t="s">
        <v>54</v>
      </c>
      <c r="I22" s="29">
        <v>717</v>
      </c>
      <c r="J22" s="44" t="s">
        <v>58</v>
      </c>
      <c r="K22" s="30">
        <v>14562</v>
      </c>
      <c r="L22" s="37" t="s">
        <v>105</v>
      </c>
      <c r="M22" s="36"/>
      <c r="N22" s="36"/>
      <c r="O22" s="36"/>
      <c r="P22" s="36"/>
    </row>
    <row r="23" spans="4:16" ht="40.5" customHeight="1" x14ac:dyDescent="0.45">
      <c r="D23" s="26"/>
      <c r="E23" s="26"/>
      <c r="F23" s="27"/>
      <c r="G23" s="27"/>
      <c r="H23" s="28" t="s">
        <v>55</v>
      </c>
      <c r="I23" s="29">
        <v>651</v>
      </c>
      <c r="J23" s="44" t="s">
        <v>58</v>
      </c>
      <c r="K23" s="30">
        <v>14591</v>
      </c>
      <c r="L23" s="37" t="s">
        <v>57</v>
      </c>
      <c r="M23" s="36"/>
      <c r="N23" s="36"/>
      <c r="O23" s="36"/>
      <c r="P23" s="36"/>
    </row>
    <row r="24" spans="4:16" ht="40.5" customHeight="1" x14ac:dyDescent="0.45">
      <c r="D24" s="26"/>
      <c r="E24" s="26"/>
      <c r="F24" s="27"/>
      <c r="G24" s="27"/>
      <c r="H24" s="28"/>
      <c r="I24" s="29"/>
      <c r="J24" s="29"/>
      <c r="K24" s="30"/>
      <c r="L24" s="36"/>
      <c r="M24" s="36"/>
      <c r="N24" s="36"/>
      <c r="O24" s="36"/>
      <c r="P24" s="36"/>
    </row>
    <row r="25" spans="4:16" ht="40.5" customHeight="1" x14ac:dyDescent="0.45">
      <c r="D25" s="26"/>
      <c r="E25" s="26"/>
      <c r="F25" s="27"/>
      <c r="G25" s="27"/>
      <c r="H25" s="28" t="s">
        <v>56</v>
      </c>
      <c r="I25" s="29">
        <v>1200</v>
      </c>
      <c r="J25" s="58" t="s">
        <v>86</v>
      </c>
      <c r="K25" s="59"/>
      <c r="L25" s="37" t="s">
        <v>87</v>
      </c>
      <c r="M25" s="36"/>
      <c r="N25" s="36"/>
      <c r="O25" s="36"/>
      <c r="P25" s="36"/>
    </row>
    <row r="26" spans="4:16" ht="40.5" customHeight="1" x14ac:dyDescent="0.45">
      <c r="D26" s="38"/>
      <c r="E26" s="38" t="s">
        <v>29</v>
      </c>
      <c r="F26" s="39" t="s">
        <v>28</v>
      </c>
      <c r="G26" s="39" t="s">
        <v>0</v>
      </c>
      <c r="H26" s="40" t="s">
        <v>26</v>
      </c>
      <c r="I26" s="41" t="s">
        <v>18</v>
      </c>
      <c r="J26" s="41" t="s">
        <v>30</v>
      </c>
      <c r="K26" s="42" t="s">
        <v>27</v>
      </c>
      <c r="L26" s="43" t="s">
        <v>33</v>
      </c>
      <c r="M26" s="43" t="s">
        <v>34</v>
      </c>
      <c r="N26" s="43" t="s">
        <v>42</v>
      </c>
      <c r="O26" s="43" t="s">
        <v>100</v>
      </c>
      <c r="P26" s="43" t="s">
        <v>43</v>
      </c>
    </row>
    <row r="27" spans="4:16" ht="40.5" customHeight="1" x14ac:dyDescent="0.45">
      <c r="D27" s="26"/>
      <c r="E27" s="26">
        <v>15219</v>
      </c>
      <c r="F27" s="32">
        <v>0.40347222222222223</v>
      </c>
      <c r="G27" s="33">
        <v>46216</v>
      </c>
      <c r="H27" s="55" t="s">
        <v>59</v>
      </c>
      <c r="I27" s="56">
        <v>159</v>
      </c>
      <c r="J27" s="56">
        <v>3914</v>
      </c>
      <c r="K27" s="30" t="s">
        <v>60</v>
      </c>
      <c r="L27" s="36">
        <v>951270</v>
      </c>
      <c r="M27" s="36">
        <v>951419</v>
      </c>
      <c r="N27" s="36" t="s">
        <v>61</v>
      </c>
      <c r="O27" s="36">
        <f>I25-I27</f>
        <v>1041</v>
      </c>
      <c r="P27" s="36"/>
    </row>
    <row r="28" spans="4:16" ht="40.5" customHeight="1" x14ac:dyDescent="0.45">
      <c r="D28" s="26"/>
      <c r="E28" s="26">
        <v>15220</v>
      </c>
      <c r="F28" s="32">
        <v>0.5444444444444444</v>
      </c>
      <c r="G28" s="33">
        <v>46216</v>
      </c>
      <c r="H28" s="55" t="s">
        <v>62</v>
      </c>
      <c r="I28" s="56">
        <v>100</v>
      </c>
      <c r="J28" s="56">
        <v>50289</v>
      </c>
      <c r="K28" s="30" t="s">
        <v>63</v>
      </c>
      <c r="L28" s="36">
        <v>951419</v>
      </c>
      <c r="M28" s="36">
        <v>951529</v>
      </c>
      <c r="N28" s="36" t="s">
        <v>44</v>
      </c>
      <c r="O28" s="36">
        <f>O27-I28</f>
        <v>941</v>
      </c>
      <c r="P28" s="36"/>
    </row>
    <row r="29" spans="4:16" ht="40.5" customHeight="1" x14ac:dyDescent="0.45">
      <c r="D29" s="26"/>
      <c r="E29" s="26">
        <v>15221</v>
      </c>
      <c r="F29" s="32">
        <v>0.5493055555555556</v>
      </c>
      <c r="G29" s="33">
        <v>46216</v>
      </c>
      <c r="H29" s="55" t="s">
        <v>64</v>
      </c>
      <c r="I29" s="56">
        <v>120</v>
      </c>
      <c r="J29" s="56">
        <v>60764</v>
      </c>
      <c r="K29" s="30" t="s">
        <v>65</v>
      </c>
      <c r="L29" s="36">
        <v>951529</v>
      </c>
      <c r="M29" s="36">
        <v>951649</v>
      </c>
      <c r="N29" s="36" t="s">
        <v>44</v>
      </c>
      <c r="O29" s="36">
        <f t="shared" ref="O29:O37" si="0">O28-I29</f>
        <v>821</v>
      </c>
      <c r="P29" s="36"/>
    </row>
    <row r="30" spans="4:16" ht="40.5" customHeight="1" x14ac:dyDescent="0.45">
      <c r="D30" s="26"/>
      <c r="E30" s="26">
        <v>15222</v>
      </c>
      <c r="F30" s="32">
        <v>0.625</v>
      </c>
      <c r="G30" s="33">
        <v>46216</v>
      </c>
      <c r="H30" s="55" t="s">
        <v>66</v>
      </c>
      <c r="I30" s="56">
        <v>100</v>
      </c>
      <c r="J30" s="56">
        <v>72453</v>
      </c>
      <c r="K30" s="30" t="s">
        <v>67</v>
      </c>
      <c r="L30" s="36">
        <v>951649</v>
      </c>
      <c r="M30" s="36">
        <v>951749</v>
      </c>
      <c r="N30" s="36" t="s">
        <v>68</v>
      </c>
      <c r="O30" s="36">
        <f t="shared" si="0"/>
        <v>721</v>
      </c>
      <c r="P30" s="36"/>
    </row>
    <row r="31" spans="4:16" ht="40.5" customHeight="1" x14ac:dyDescent="0.45">
      <c r="D31" s="26"/>
      <c r="E31" s="26">
        <v>15223</v>
      </c>
      <c r="F31" s="32">
        <v>0.625</v>
      </c>
      <c r="G31" s="33">
        <v>46216</v>
      </c>
      <c r="H31" s="55" t="s">
        <v>39</v>
      </c>
      <c r="I31" s="56">
        <v>100</v>
      </c>
      <c r="J31" s="56">
        <v>30202</v>
      </c>
      <c r="K31" s="30" t="s">
        <v>69</v>
      </c>
      <c r="L31" s="36">
        <v>951749</v>
      </c>
      <c r="M31" s="36">
        <v>951849</v>
      </c>
      <c r="N31" s="36" t="s">
        <v>68</v>
      </c>
      <c r="O31" s="36">
        <f t="shared" si="0"/>
        <v>621</v>
      </c>
      <c r="P31" s="36"/>
    </row>
    <row r="32" spans="4:16" ht="40.5" customHeight="1" x14ac:dyDescent="0.45">
      <c r="D32" s="26"/>
      <c r="E32" s="26">
        <v>15224</v>
      </c>
      <c r="F32" s="32">
        <v>0.63194444444444442</v>
      </c>
      <c r="G32" s="33">
        <v>46216</v>
      </c>
      <c r="H32" s="55" t="s">
        <v>31</v>
      </c>
      <c r="I32" s="56">
        <v>100</v>
      </c>
      <c r="J32" s="56">
        <v>134302</v>
      </c>
      <c r="K32" s="30" t="s">
        <v>70</v>
      </c>
      <c r="L32" s="36">
        <v>951849</v>
      </c>
      <c r="M32" s="36">
        <v>951951</v>
      </c>
      <c r="N32" s="36" t="s">
        <v>68</v>
      </c>
      <c r="O32" s="36">
        <f t="shared" si="0"/>
        <v>521</v>
      </c>
      <c r="P32" s="36"/>
    </row>
    <row r="33" spans="4:16" ht="40.5" customHeight="1" x14ac:dyDescent="0.45">
      <c r="D33" s="26"/>
      <c r="E33" s="26">
        <v>15225</v>
      </c>
      <c r="F33" s="32">
        <v>0.63611111111111107</v>
      </c>
      <c r="G33" s="33">
        <v>46216</v>
      </c>
      <c r="H33" s="55" t="s">
        <v>71</v>
      </c>
      <c r="I33" s="56">
        <v>100</v>
      </c>
      <c r="J33" s="56">
        <v>1037688</v>
      </c>
      <c r="K33" s="30" t="s">
        <v>72</v>
      </c>
      <c r="L33" s="36">
        <v>951951</v>
      </c>
      <c r="M33" s="36">
        <v>952051</v>
      </c>
      <c r="N33" s="36" t="s">
        <v>68</v>
      </c>
      <c r="O33" s="36">
        <f t="shared" si="0"/>
        <v>421</v>
      </c>
      <c r="P33" s="36"/>
    </row>
    <row r="34" spans="4:16" ht="40.5" customHeight="1" x14ac:dyDescent="0.45">
      <c r="D34" s="26"/>
      <c r="E34" s="26">
        <v>15226</v>
      </c>
      <c r="F34" s="32">
        <v>0.64236111111111116</v>
      </c>
      <c r="G34" s="33">
        <v>46216</v>
      </c>
      <c r="H34" s="55" t="s">
        <v>73</v>
      </c>
      <c r="I34" s="56">
        <v>100</v>
      </c>
      <c r="J34" s="56">
        <v>75567</v>
      </c>
      <c r="K34" s="30" t="s">
        <v>74</v>
      </c>
      <c r="L34" s="36">
        <v>952051</v>
      </c>
      <c r="M34" s="36">
        <v>952152</v>
      </c>
      <c r="N34" s="36" t="s">
        <v>68</v>
      </c>
      <c r="O34" s="36">
        <f t="shared" si="0"/>
        <v>321</v>
      </c>
      <c r="P34" s="36"/>
    </row>
    <row r="35" spans="4:16" ht="40.5" customHeight="1" x14ac:dyDescent="0.45">
      <c r="D35" s="26"/>
      <c r="E35" s="26">
        <v>15227</v>
      </c>
      <c r="F35" s="32">
        <v>0.69444444444444442</v>
      </c>
      <c r="G35" s="33">
        <v>46216</v>
      </c>
      <c r="H35" s="55" t="s">
        <v>75</v>
      </c>
      <c r="I35" s="56">
        <v>100</v>
      </c>
      <c r="J35" s="56">
        <v>0</v>
      </c>
      <c r="K35" s="30" t="s">
        <v>76</v>
      </c>
      <c r="L35" s="36">
        <v>952152</v>
      </c>
      <c r="M35" s="36">
        <v>952252</v>
      </c>
      <c r="N35" s="36" t="s">
        <v>45</v>
      </c>
      <c r="O35" s="36">
        <f t="shared" si="0"/>
        <v>221</v>
      </c>
      <c r="P35" s="36"/>
    </row>
    <row r="36" spans="4:16" ht="40.5" customHeight="1" x14ac:dyDescent="0.45">
      <c r="D36" s="26"/>
      <c r="E36" s="26">
        <v>15228</v>
      </c>
      <c r="F36" s="32">
        <v>0.72430555555555554</v>
      </c>
      <c r="G36" s="33">
        <v>46216</v>
      </c>
      <c r="H36" s="55" t="s">
        <v>77</v>
      </c>
      <c r="I36" s="56">
        <v>100</v>
      </c>
      <c r="J36" s="56">
        <v>1375425</v>
      </c>
      <c r="K36" s="30" t="s">
        <v>78</v>
      </c>
      <c r="L36" s="36">
        <v>952252</v>
      </c>
      <c r="M36" s="36">
        <v>952352</v>
      </c>
      <c r="N36" s="36" t="s">
        <v>79</v>
      </c>
      <c r="O36" s="36">
        <f t="shared" si="0"/>
        <v>121</v>
      </c>
      <c r="P36" s="36"/>
    </row>
    <row r="37" spans="4:16" ht="40.5" customHeight="1" x14ac:dyDescent="0.45">
      <c r="D37" s="26"/>
      <c r="E37" s="26">
        <v>15229</v>
      </c>
      <c r="F37" s="32">
        <v>0.72777777777777775</v>
      </c>
      <c r="G37" s="33">
        <v>46216</v>
      </c>
      <c r="H37" s="55" t="s">
        <v>80</v>
      </c>
      <c r="I37" s="56">
        <v>21</v>
      </c>
      <c r="J37" s="56">
        <v>163262</v>
      </c>
      <c r="K37" s="30" t="s">
        <v>81</v>
      </c>
      <c r="L37" s="36">
        <v>952352</v>
      </c>
      <c r="M37" s="36">
        <v>952373</v>
      </c>
      <c r="N37" s="36" t="s">
        <v>79</v>
      </c>
      <c r="O37" s="36">
        <f t="shared" si="0"/>
        <v>100</v>
      </c>
      <c r="P37" s="36"/>
    </row>
    <row r="38" spans="4:16" ht="40.5" customHeight="1" x14ac:dyDescent="0.45">
      <c r="D38" s="26"/>
      <c r="E38" s="26"/>
      <c r="F38" s="27"/>
      <c r="G38" s="27"/>
      <c r="H38" s="28" t="s">
        <v>50</v>
      </c>
      <c r="I38" s="29">
        <f>SUM(I27:I37)</f>
        <v>1100</v>
      </c>
      <c r="J38" s="29"/>
      <c r="K38" s="30"/>
      <c r="L38" s="36"/>
      <c r="M38" s="36"/>
      <c r="N38" s="36"/>
      <c r="O38" s="36"/>
      <c r="P38" s="36"/>
    </row>
    <row r="39" spans="4:16" ht="40.5" customHeight="1" x14ac:dyDescent="0.45">
      <c r="D39" s="26"/>
      <c r="E39" s="26"/>
      <c r="F39" s="27"/>
      <c r="G39" s="27"/>
      <c r="J39" s="31"/>
      <c r="K39" s="30"/>
      <c r="L39" s="36"/>
      <c r="M39" s="36"/>
      <c r="N39" s="36"/>
      <c r="O39" s="36"/>
      <c r="P39" s="36"/>
    </row>
    <row r="40" spans="4:16" ht="40.5" customHeight="1" x14ac:dyDescent="0.45">
      <c r="D40" s="26"/>
      <c r="E40" s="26"/>
      <c r="F40" s="27"/>
      <c r="G40" s="27"/>
      <c r="H40" s="28" t="s">
        <v>51</v>
      </c>
      <c r="I40" s="29">
        <v>951270</v>
      </c>
      <c r="J40" s="29"/>
      <c r="K40" s="30"/>
      <c r="L40" s="36"/>
      <c r="M40" s="36"/>
      <c r="N40" s="36"/>
      <c r="O40" s="36"/>
      <c r="P40" s="36"/>
    </row>
    <row r="41" spans="4:16" ht="40.5" customHeight="1" x14ac:dyDescent="0.45">
      <c r="D41" s="26"/>
      <c r="E41" s="26"/>
      <c r="F41" s="27"/>
      <c r="G41" s="27"/>
      <c r="H41" s="28" t="s">
        <v>52</v>
      </c>
      <c r="I41" s="29">
        <v>952373</v>
      </c>
      <c r="J41" s="31"/>
      <c r="K41" s="30"/>
      <c r="L41" s="36"/>
      <c r="M41" s="36"/>
      <c r="N41" s="36"/>
      <c r="O41" s="36"/>
      <c r="P41" s="36"/>
    </row>
    <row r="42" spans="4:16" ht="40.5" customHeight="1" x14ac:dyDescent="0.45">
      <c r="D42" s="26"/>
      <c r="E42" s="26"/>
      <c r="F42" s="27"/>
      <c r="G42" s="27"/>
      <c r="H42" s="28"/>
      <c r="I42" s="29">
        <f>I41-I40</f>
        <v>1103</v>
      </c>
      <c r="J42" s="29"/>
      <c r="K42" s="30"/>
      <c r="L42" s="36"/>
      <c r="M42" s="36"/>
      <c r="N42" s="36"/>
      <c r="O42" s="36"/>
      <c r="P42" s="36"/>
    </row>
    <row r="43" spans="4:16" ht="40.5" customHeight="1" x14ac:dyDescent="0.45">
      <c r="D43" s="26"/>
      <c r="E43" s="26"/>
      <c r="F43" s="27"/>
      <c r="G43" s="27"/>
      <c r="H43" s="28"/>
      <c r="I43" s="29"/>
      <c r="J43" s="29"/>
      <c r="K43" s="30"/>
      <c r="L43" s="36"/>
      <c r="M43" s="36"/>
      <c r="N43" s="36"/>
      <c r="O43" s="36"/>
      <c r="P43" s="36"/>
    </row>
    <row r="44" spans="4:16" ht="40.5" customHeight="1" x14ac:dyDescent="0.45">
      <c r="D44" s="26"/>
      <c r="E44" s="26"/>
      <c r="F44" s="27"/>
      <c r="G44" s="27"/>
      <c r="H44" s="28" t="s">
        <v>54</v>
      </c>
      <c r="I44" s="29">
        <v>651</v>
      </c>
      <c r="J44" s="44" t="s">
        <v>58</v>
      </c>
      <c r="K44" s="30">
        <v>14591</v>
      </c>
      <c r="L44" s="37"/>
      <c r="M44" s="37" t="s">
        <v>104</v>
      </c>
      <c r="N44" s="36"/>
      <c r="O44" s="36">
        <v>578</v>
      </c>
      <c r="P44" s="36"/>
    </row>
    <row r="45" spans="4:16" ht="40.5" customHeight="1" x14ac:dyDescent="0.45">
      <c r="D45" s="26"/>
      <c r="E45" s="26"/>
      <c r="F45" s="27"/>
      <c r="G45" s="27"/>
      <c r="H45" s="28" t="s">
        <v>55</v>
      </c>
      <c r="I45" s="29">
        <v>237</v>
      </c>
      <c r="J45" s="44" t="s">
        <v>58</v>
      </c>
      <c r="K45" s="30">
        <v>14203</v>
      </c>
      <c r="L45" s="37"/>
      <c r="M45" s="37" t="s">
        <v>82</v>
      </c>
      <c r="N45" s="36"/>
      <c r="O45" s="36">
        <f>I25-I42</f>
        <v>97</v>
      </c>
      <c r="P45" s="36" t="s">
        <v>83</v>
      </c>
    </row>
    <row r="46" spans="4:16" ht="40.5" customHeight="1" x14ac:dyDescent="0.45">
      <c r="D46" s="26"/>
      <c r="E46" s="26"/>
      <c r="F46" s="27"/>
      <c r="G46" s="27"/>
      <c r="H46" s="28"/>
      <c r="I46" s="29"/>
      <c r="J46" s="29"/>
      <c r="K46" s="30"/>
      <c r="L46" s="36"/>
      <c r="M46" s="36"/>
      <c r="N46" s="36"/>
      <c r="O46" s="36"/>
      <c r="P46" s="36"/>
    </row>
    <row r="47" spans="4:16" ht="40.5" customHeight="1" x14ac:dyDescent="0.45">
      <c r="D47" s="26"/>
      <c r="E47" s="26"/>
      <c r="F47" s="27"/>
      <c r="G47" s="27"/>
      <c r="H47" s="28" t="s">
        <v>56</v>
      </c>
      <c r="I47" s="29">
        <f>I45+O45</f>
        <v>334</v>
      </c>
      <c r="J47" s="58" t="s">
        <v>88</v>
      </c>
      <c r="K47" s="59"/>
      <c r="L47" s="36"/>
      <c r="M47" s="36"/>
      <c r="N47" s="36"/>
      <c r="O47" s="36"/>
      <c r="P47" s="36"/>
    </row>
    <row r="48" spans="4:16" ht="40.5" customHeight="1" x14ac:dyDescent="0.45">
      <c r="D48" s="38"/>
      <c r="E48" s="38" t="s">
        <v>29</v>
      </c>
      <c r="F48" s="39" t="s">
        <v>28</v>
      </c>
      <c r="G48" s="39" t="s">
        <v>0</v>
      </c>
      <c r="H48" s="40" t="s">
        <v>26</v>
      </c>
      <c r="I48" s="41" t="s">
        <v>18</v>
      </c>
      <c r="J48" s="41" t="s">
        <v>30</v>
      </c>
      <c r="K48" s="42" t="s">
        <v>27</v>
      </c>
      <c r="L48" s="43" t="s">
        <v>33</v>
      </c>
      <c r="M48" s="43" t="s">
        <v>34</v>
      </c>
      <c r="N48" s="43" t="s">
        <v>42</v>
      </c>
      <c r="O48" s="43" t="s">
        <v>100</v>
      </c>
      <c r="P48" s="43" t="s">
        <v>43</v>
      </c>
    </row>
    <row r="49" spans="4:16" ht="40.5" customHeight="1" x14ac:dyDescent="0.45">
      <c r="D49" s="26"/>
      <c r="E49" s="26">
        <v>1530</v>
      </c>
      <c r="F49" s="32">
        <v>0.30833333333333335</v>
      </c>
      <c r="G49" s="33">
        <v>46217</v>
      </c>
      <c r="H49" s="55" t="s">
        <v>35</v>
      </c>
      <c r="I49" s="56">
        <v>100</v>
      </c>
      <c r="J49" s="56">
        <v>85486</v>
      </c>
      <c r="K49" s="30" t="s">
        <v>84</v>
      </c>
      <c r="L49" s="36">
        <v>952373</v>
      </c>
      <c r="M49" s="36">
        <v>952473</v>
      </c>
      <c r="N49" s="36" t="s">
        <v>44</v>
      </c>
      <c r="O49" s="36">
        <f>I47-I49</f>
        <v>234</v>
      </c>
      <c r="P49" s="36"/>
    </row>
    <row r="50" spans="4:16" ht="40.5" customHeight="1" x14ac:dyDescent="0.45">
      <c r="D50" s="26"/>
      <c r="E50" s="26">
        <v>15231</v>
      </c>
      <c r="F50" s="32">
        <v>0.42430555555555555</v>
      </c>
      <c r="G50" s="33">
        <v>46217</v>
      </c>
      <c r="H50" s="55" t="s">
        <v>37</v>
      </c>
      <c r="I50" s="56">
        <v>100</v>
      </c>
      <c r="J50" s="56">
        <v>12091</v>
      </c>
      <c r="K50" s="30" t="s">
        <v>85</v>
      </c>
      <c r="L50" s="36">
        <v>952473</v>
      </c>
      <c r="M50" s="36">
        <v>952573</v>
      </c>
      <c r="N50" s="36" t="s">
        <v>45</v>
      </c>
      <c r="O50" s="36">
        <f>O49-I50</f>
        <v>134</v>
      </c>
      <c r="P50" s="36"/>
    </row>
    <row r="51" spans="4:16" ht="40.5" customHeight="1" x14ac:dyDescent="0.45">
      <c r="D51" s="26"/>
      <c r="E51" s="26">
        <v>15232</v>
      </c>
      <c r="F51" s="32">
        <v>0.42986111111111114</v>
      </c>
      <c r="G51" s="33">
        <v>46217</v>
      </c>
      <c r="H51" s="55" t="s">
        <v>62</v>
      </c>
      <c r="I51" s="56">
        <v>50</v>
      </c>
      <c r="J51" s="56">
        <v>50447</v>
      </c>
      <c r="K51" s="30" t="s">
        <v>63</v>
      </c>
      <c r="L51" s="36">
        <v>952373</v>
      </c>
      <c r="M51" s="36">
        <v>952623</v>
      </c>
      <c r="N51" s="36" t="s">
        <v>45</v>
      </c>
      <c r="O51" s="57">
        <f>O50-I51</f>
        <v>84</v>
      </c>
      <c r="P51" s="36" t="s">
        <v>89</v>
      </c>
    </row>
    <row r="52" spans="4:16" ht="40.5" customHeight="1" x14ac:dyDescent="0.45">
      <c r="D52" s="26"/>
      <c r="E52" s="26"/>
      <c r="F52" s="27"/>
      <c r="G52" s="27"/>
      <c r="H52" s="28" t="s">
        <v>50</v>
      </c>
      <c r="I52" s="29">
        <f>SUM(I49:I51)</f>
        <v>250</v>
      </c>
      <c r="J52" s="29"/>
      <c r="K52" s="30"/>
      <c r="L52" s="36"/>
      <c r="M52" s="36"/>
      <c r="N52" s="36"/>
      <c r="O52" s="36"/>
      <c r="P52" s="36"/>
    </row>
    <row r="53" spans="4:16" ht="40.5" customHeight="1" x14ac:dyDescent="0.45">
      <c r="D53" s="26"/>
      <c r="E53" s="26"/>
      <c r="F53" s="27"/>
      <c r="G53" s="27"/>
      <c r="H53" s="28"/>
      <c r="I53" s="29"/>
      <c r="J53" s="29"/>
      <c r="K53" s="30"/>
      <c r="L53" s="36"/>
      <c r="M53" s="36"/>
      <c r="N53" s="36"/>
      <c r="O53" s="36"/>
      <c r="P53" s="36"/>
    </row>
    <row r="54" spans="4:16" ht="40.5" customHeight="1" x14ac:dyDescent="0.45">
      <c r="D54" s="26"/>
      <c r="E54" s="26"/>
      <c r="F54" s="27"/>
      <c r="G54" s="27"/>
      <c r="H54" s="28" t="s">
        <v>51</v>
      </c>
      <c r="I54" s="29">
        <v>952373</v>
      </c>
      <c r="J54" s="29"/>
      <c r="K54" s="30"/>
      <c r="L54" s="36"/>
      <c r="M54" s="36"/>
      <c r="N54" s="36"/>
      <c r="O54" s="36"/>
      <c r="P54" s="36"/>
    </row>
    <row r="55" spans="4:16" ht="40.5" customHeight="1" x14ac:dyDescent="0.45">
      <c r="D55" s="26"/>
      <c r="E55" s="26"/>
      <c r="F55" s="27"/>
      <c r="G55" s="27"/>
      <c r="H55" s="28" t="s">
        <v>52</v>
      </c>
      <c r="I55" s="29">
        <v>952623</v>
      </c>
      <c r="J55" s="29"/>
      <c r="K55" s="30"/>
      <c r="L55" s="36"/>
      <c r="M55" s="36"/>
      <c r="N55" s="36"/>
      <c r="O55" s="36"/>
      <c r="P55" s="36"/>
    </row>
    <row r="56" spans="4:16" ht="40.5" customHeight="1" x14ac:dyDescent="0.45">
      <c r="D56" s="26"/>
      <c r="E56" s="26"/>
      <c r="F56" s="27"/>
      <c r="G56" s="27"/>
      <c r="H56" s="28"/>
      <c r="I56" s="29">
        <f>I55-I54</f>
        <v>250</v>
      </c>
      <c r="J56" s="29"/>
      <c r="K56" s="30"/>
      <c r="L56" s="36"/>
      <c r="M56" s="36"/>
      <c r="N56" s="36"/>
      <c r="O56" s="36"/>
      <c r="P56" s="36"/>
    </row>
    <row r="57" spans="4:16" ht="40.5" customHeight="1" x14ac:dyDescent="0.45">
      <c r="D57" s="26"/>
      <c r="E57" s="26"/>
      <c r="F57" s="27"/>
      <c r="G57" s="27"/>
      <c r="H57" s="28"/>
      <c r="I57" s="29"/>
      <c r="J57" s="29"/>
      <c r="K57" s="30"/>
      <c r="L57" s="36"/>
      <c r="M57" s="37" t="s">
        <v>104</v>
      </c>
      <c r="N57" s="36"/>
      <c r="O57" s="36">
        <v>97</v>
      </c>
      <c r="P57" s="36"/>
    </row>
    <row r="58" spans="4:16" ht="40.5" customHeight="1" x14ac:dyDescent="0.45">
      <c r="D58" s="26"/>
      <c r="E58" s="26"/>
      <c r="F58" s="27"/>
      <c r="G58" s="27"/>
      <c r="H58" s="28" t="s">
        <v>54</v>
      </c>
      <c r="I58" s="29">
        <v>237</v>
      </c>
      <c r="J58" s="44" t="s">
        <v>58</v>
      </c>
      <c r="K58" s="30">
        <v>14203</v>
      </c>
      <c r="L58" s="37"/>
      <c r="M58" s="37" t="s">
        <v>82</v>
      </c>
      <c r="N58" s="36"/>
      <c r="O58" s="57">
        <v>0</v>
      </c>
      <c r="P58" s="36" t="s">
        <v>93</v>
      </c>
    </row>
    <row r="59" spans="4:16" ht="40.5" customHeight="1" x14ac:dyDescent="0.45">
      <c r="D59" s="26"/>
      <c r="E59" s="26"/>
      <c r="F59" s="27"/>
      <c r="G59" s="27"/>
      <c r="H59" s="62" t="s">
        <v>90</v>
      </c>
      <c r="I59" s="29">
        <v>366.66699999999997</v>
      </c>
      <c r="J59" s="44" t="s">
        <v>92</v>
      </c>
      <c r="K59" s="30">
        <v>60109830</v>
      </c>
      <c r="L59" s="37"/>
      <c r="M59" s="36"/>
      <c r="N59" s="36"/>
      <c r="O59" s="36"/>
      <c r="P59" s="63">
        <v>9900</v>
      </c>
    </row>
    <row r="60" spans="4:16" ht="40.5" customHeight="1" x14ac:dyDescent="0.45">
      <c r="D60" s="26"/>
      <c r="E60" s="26"/>
      <c r="F60" s="27"/>
      <c r="G60" s="27"/>
      <c r="H60" s="62" t="s">
        <v>90</v>
      </c>
      <c r="I60" s="29">
        <v>3.7040000000000002</v>
      </c>
      <c r="J60" s="44" t="s">
        <v>92</v>
      </c>
      <c r="K60" s="30">
        <v>60109860</v>
      </c>
      <c r="L60" s="36"/>
      <c r="M60" s="36"/>
      <c r="N60" s="36"/>
      <c r="O60" s="36"/>
      <c r="P60" s="63">
        <v>100</v>
      </c>
    </row>
    <row r="61" spans="4:16" ht="39.75" customHeight="1" x14ac:dyDescent="0.45">
      <c r="D61" s="26"/>
      <c r="E61" s="26"/>
      <c r="F61" s="27"/>
      <c r="G61" s="27"/>
      <c r="H61" s="28"/>
      <c r="I61" s="29"/>
      <c r="J61" s="29"/>
      <c r="K61" s="30"/>
      <c r="L61" s="36"/>
      <c r="M61" s="36"/>
      <c r="N61" s="36"/>
      <c r="O61" s="36"/>
      <c r="P61" s="36"/>
    </row>
    <row r="62" spans="4:16" ht="40.5" customHeight="1" x14ac:dyDescent="0.45">
      <c r="D62" s="26"/>
      <c r="E62" s="26"/>
      <c r="F62" s="27"/>
      <c r="G62" s="27"/>
      <c r="H62" s="28" t="s">
        <v>56</v>
      </c>
      <c r="I62" s="29">
        <f>I59+I60</f>
        <v>370.37099999999998</v>
      </c>
      <c r="J62" s="58" t="s">
        <v>91</v>
      </c>
      <c r="K62" s="59"/>
      <c r="L62" s="36"/>
      <c r="M62" s="36"/>
      <c r="N62" s="36"/>
      <c r="O62" s="36"/>
      <c r="P62" s="36"/>
    </row>
    <row r="63" spans="4:16" ht="40.5" customHeight="1" x14ac:dyDescent="0.45">
      <c r="D63" s="38"/>
      <c r="E63" s="38" t="s">
        <v>29</v>
      </c>
      <c r="F63" s="39" t="s">
        <v>28</v>
      </c>
      <c r="G63" s="39" t="s">
        <v>0</v>
      </c>
      <c r="H63" s="40" t="s">
        <v>26</v>
      </c>
      <c r="I63" s="41" t="s">
        <v>18</v>
      </c>
      <c r="J63" s="41" t="s">
        <v>30</v>
      </c>
      <c r="K63" s="42" t="s">
        <v>27</v>
      </c>
      <c r="L63" s="43" t="s">
        <v>33</v>
      </c>
      <c r="M63" s="43" t="s">
        <v>34</v>
      </c>
      <c r="N63" s="43" t="s">
        <v>42</v>
      </c>
      <c r="O63" s="43" t="s">
        <v>100</v>
      </c>
      <c r="P63" s="43" t="s">
        <v>43</v>
      </c>
    </row>
    <row r="64" spans="4:16" ht="39.75" customHeight="1" x14ac:dyDescent="0.45">
      <c r="D64" s="26"/>
      <c r="E64" s="26">
        <v>15233</v>
      </c>
      <c r="F64" s="32">
        <v>0.5</v>
      </c>
      <c r="G64" s="33">
        <v>46217</v>
      </c>
      <c r="H64" s="55" t="s">
        <v>94</v>
      </c>
      <c r="I64" s="56">
        <v>100</v>
      </c>
      <c r="J64" s="56">
        <v>8498</v>
      </c>
      <c r="K64" s="30" t="s">
        <v>95</v>
      </c>
      <c r="L64" s="36">
        <v>952623</v>
      </c>
      <c r="M64" s="36">
        <v>952723</v>
      </c>
      <c r="N64" s="36" t="s">
        <v>45</v>
      </c>
      <c r="O64" s="36">
        <f>370-I64</f>
        <v>270</v>
      </c>
      <c r="P64" s="60" t="s">
        <v>99</v>
      </c>
    </row>
    <row r="65" spans="4:16" ht="39.75" customHeight="1" x14ac:dyDescent="0.45">
      <c r="D65" s="26"/>
      <c r="E65" s="26">
        <v>15234</v>
      </c>
      <c r="F65" s="32">
        <v>0.52708333333333335</v>
      </c>
      <c r="G65" s="33">
        <v>46217</v>
      </c>
      <c r="H65" s="55" t="s">
        <v>96</v>
      </c>
      <c r="I65" s="56">
        <v>259</v>
      </c>
      <c r="J65" s="56">
        <v>2809</v>
      </c>
      <c r="K65" s="30" t="s">
        <v>97</v>
      </c>
      <c r="L65" s="36">
        <v>952723</v>
      </c>
      <c r="M65" s="36">
        <v>952982</v>
      </c>
      <c r="N65" s="36" t="s">
        <v>98</v>
      </c>
      <c r="O65" s="36">
        <f>O64-I65</f>
        <v>11</v>
      </c>
      <c r="P65" s="60" t="s">
        <v>99</v>
      </c>
    </row>
    <row r="66" spans="4:16" ht="39.75" customHeight="1" x14ac:dyDescent="0.45">
      <c r="D66" s="26"/>
      <c r="E66" s="26"/>
      <c r="F66" s="32"/>
      <c r="G66" s="33"/>
      <c r="H66" s="28"/>
      <c r="I66" s="29"/>
      <c r="J66" s="29"/>
      <c r="K66" s="30"/>
      <c r="L66" s="36"/>
      <c r="M66" s="36"/>
      <c r="N66" s="36"/>
      <c r="O66" s="57"/>
      <c r="P66" s="36"/>
    </row>
    <row r="67" spans="4:16" ht="39.75" customHeight="1" x14ac:dyDescent="0.45">
      <c r="D67" s="26"/>
      <c r="E67" s="26"/>
      <c r="F67" s="27"/>
      <c r="G67" s="27"/>
      <c r="H67" s="28" t="s">
        <v>50</v>
      </c>
      <c r="I67" s="29">
        <f>SUM(I64:I66)</f>
        <v>359</v>
      </c>
      <c r="J67" s="29"/>
      <c r="K67" s="30"/>
      <c r="L67" s="36"/>
      <c r="M67" s="36"/>
      <c r="N67" s="36"/>
      <c r="O67" s="36"/>
      <c r="P67" s="36"/>
    </row>
    <row r="68" spans="4:16" ht="39.75" customHeight="1" x14ac:dyDescent="0.45">
      <c r="D68" s="26"/>
      <c r="E68" s="26"/>
      <c r="F68" s="27"/>
      <c r="G68" s="27"/>
      <c r="H68" s="28"/>
      <c r="I68" s="29"/>
      <c r="J68" s="29"/>
      <c r="K68" s="30"/>
      <c r="L68" s="36"/>
      <c r="M68" s="36"/>
      <c r="N68" s="36"/>
      <c r="O68" s="36"/>
      <c r="P68" s="36"/>
    </row>
    <row r="69" spans="4:16" ht="39.75" customHeight="1" x14ac:dyDescent="0.45">
      <c r="D69" s="26"/>
      <c r="E69" s="26"/>
      <c r="F69" s="27"/>
      <c r="G69" s="27"/>
      <c r="H69" s="28" t="s">
        <v>51</v>
      </c>
      <c r="I69" s="29">
        <v>952623</v>
      </c>
      <c r="J69" s="29"/>
      <c r="K69" s="30"/>
      <c r="L69" s="36"/>
      <c r="M69" s="36"/>
      <c r="N69" s="36"/>
      <c r="O69" s="36"/>
      <c r="P69" s="36"/>
    </row>
    <row r="70" spans="4:16" ht="39.75" customHeight="1" x14ac:dyDescent="0.45">
      <c r="D70" s="26"/>
      <c r="E70" s="26"/>
      <c r="F70" s="27"/>
      <c r="G70" s="27"/>
      <c r="H70" s="28" t="s">
        <v>52</v>
      </c>
      <c r="I70" s="29">
        <v>952982</v>
      </c>
      <c r="J70" s="29"/>
      <c r="K70" s="30"/>
      <c r="L70" s="36"/>
      <c r="M70" s="36"/>
      <c r="N70" s="36"/>
      <c r="O70" s="36"/>
      <c r="P70" s="36"/>
    </row>
    <row r="71" spans="4:16" ht="39.75" customHeight="1" x14ac:dyDescent="0.45">
      <c r="D71" s="26"/>
      <c r="E71" s="26"/>
      <c r="F71" s="27"/>
      <c r="G71" s="27"/>
      <c r="H71" s="28"/>
      <c r="I71" s="29">
        <f>I70-I69</f>
        <v>359</v>
      </c>
      <c r="J71" s="29"/>
      <c r="K71" s="30"/>
      <c r="L71" s="36"/>
      <c r="M71" s="36"/>
      <c r="N71" s="36"/>
      <c r="O71" s="36"/>
      <c r="P71" s="36"/>
    </row>
    <row r="72" spans="4:16" ht="39.75" customHeight="1" x14ac:dyDescent="0.45">
      <c r="D72" s="26"/>
      <c r="E72" s="26"/>
      <c r="F72" s="27"/>
      <c r="G72" s="27"/>
      <c r="H72" s="28"/>
      <c r="I72" s="29"/>
      <c r="J72" s="29"/>
      <c r="K72" s="30"/>
      <c r="L72" s="36"/>
      <c r="M72" s="36"/>
      <c r="N72" s="36"/>
      <c r="O72" s="36"/>
      <c r="P72" s="36"/>
    </row>
    <row r="73" spans="4:16" ht="39.75" customHeight="1" x14ac:dyDescent="0.45">
      <c r="D73" s="26"/>
      <c r="E73" s="26"/>
      <c r="F73" s="27"/>
      <c r="G73" s="27"/>
      <c r="H73" s="62" t="s">
        <v>101</v>
      </c>
      <c r="I73" s="29">
        <v>370</v>
      </c>
      <c r="J73" s="61">
        <v>60109830</v>
      </c>
      <c r="K73" s="30">
        <v>60109860</v>
      </c>
      <c r="L73" s="37"/>
      <c r="M73" s="37" t="s">
        <v>104</v>
      </c>
      <c r="N73" s="36"/>
      <c r="O73" s="57">
        <v>0</v>
      </c>
      <c r="P73" s="36"/>
    </row>
    <row r="74" spans="4:16" ht="39.75" customHeight="1" x14ac:dyDescent="0.45">
      <c r="D74" s="26"/>
      <c r="E74" s="26"/>
      <c r="F74" s="27"/>
      <c r="G74" s="27"/>
      <c r="H74" s="62" t="s">
        <v>90</v>
      </c>
      <c r="I74" s="29">
        <v>96</v>
      </c>
      <c r="J74" s="44" t="s">
        <v>92</v>
      </c>
      <c r="K74" s="30">
        <v>284756530</v>
      </c>
      <c r="L74" s="37"/>
      <c r="M74" s="37" t="s">
        <v>82</v>
      </c>
      <c r="N74" s="36"/>
      <c r="O74" s="36">
        <v>11</v>
      </c>
      <c r="P74" s="63">
        <v>2600</v>
      </c>
    </row>
    <row r="75" spans="4:16" ht="39.75" customHeight="1" x14ac:dyDescent="0.45">
      <c r="D75" s="26"/>
      <c r="E75" s="26"/>
      <c r="F75" s="27"/>
      <c r="G75" s="27"/>
      <c r="H75" s="28"/>
      <c r="I75" s="29"/>
      <c r="J75" s="44"/>
      <c r="K75" s="30"/>
      <c r="L75" s="36"/>
      <c r="M75" s="36"/>
      <c r="N75" s="36"/>
      <c r="O75" s="36"/>
      <c r="P75" s="36"/>
    </row>
    <row r="76" spans="4:16" ht="39.75" customHeight="1" x14ac:dyDescent="0.45">
      <c r="D76" s="26"/>
      <c r="E76" s="26"/>
      <c r="F76" s="27"/>
      <c r="G76" s="27"/>
      <c r="H76" s="28" t="s">
        <v>56</v>
      </c>
      <c r="I76" s="29">
        <f>I74+O74</f>
        <v>107</v>
      </c>
      <c r="J76" s="58" t="s">
        <v>102</v>
      </c>
      <c r="K76" s="59"/>
      <c r="L76" s="36"/>
      <c r="M76" s="36"/>
      <c r="N76" s="36"/>
      <c r="O76" s="36"/>
      <c r="P76" s="36"/>
    </row>
    <row r="77" spans="4:16" ht="39.75" customHeight="1" x14ac:dyDescent="0.45">
      <c r="D77" s="38"/>
      <c r="E77" s="38" t="s">
        <v>29</v>
      </c>
      <c r="F77" s="39" t="s">
        <v>28</v>
      </c>
      <c r="G77" s="39" t="s">
        <v>0</v>
      </c>
      <c r="H77" s="40" t="s">
        <v>26</v>
      </c>
      <c r="I77" s="41" t="s">
        <v>18</v>
      </c>
      <c r="J77" s="41" t="s">
        <v>30</v>
      </c>
      <c r="K77" s="42" t="s">
        <v>27</v>
      </c>
      <c r="L77" s="43" t="s">
        <v>33</v>
      </c>
      <c r="M77" s="43" t="s">
        <v>34</v>
      </c>
      <c r="N77" s="43" t="s">
        <v>42</v>
      </c>
      <c r="O77" s="43" t="s">
        <v>100</v>
      </c>
      <c r="P77" s="43" t="s">
        <v>43</v>
      </c>
    </row>
    <row r="78" spans="4:16" ht="39.75" customHeight="1" x14ac:dyDescent="0.45">
      <c r="D78" s="26"/>
      <c r="E78" s="26">
        <v>15235</v>
      </c>
      <c r="F78" s="32">
        <v>0.63194444444444442</v>
      </c>
      <c r="G78" s="33">
        <v>46217</v>
      </c>
      <c r="H78" s="55" t="s">
        <v>31</v>
      </c>
      <c r="I78" s="56">
        <v>91</v>
      </c>
      <c r="J78" s="56">
        <v>134505</v>
      </c>
      <c r="K78" s="30" t="s">
        <v>70</v>
      </c>
      <c r="L78" s="36">
        <v>952982</v>
      </c>
      <c r="M78" s="36">
        <v>953073</v>
      </c>
      <c r="N78" s="36" t="s">
        <v>103</v>
      </c>
      <c r="O78" s="57">
        <f>I76-I78</f>
        <v>16</v>
      </c>
      <c r="P78" s="36" t="s">
        <v>89</v>
      </c>
    </row>
    <row r="79" spans="4:16" ht="39.75" customHeight="1" x14ac:dyDescent="0.45">
      <c r="D79" s="26"/>
      <c r="E79" s="26"/>
      <c r="F79" s="27"/>
      <c r="G79" s="27"/>
      <c r="H79" s="28" t="s">
        <v>50</v>
      </c>
      <c r="I79" s="29">
        <v>91</v>
      </c>
      <c r="J79" s="29"/>
      <c r="K79" s="30"/>
      <c r="L79" s="36"/>
      <c r="M79" s="36"/>
      <c r="N79" s="36"/>
      <c r="O79" s="36"/>
      <c r="P79" s="36"/>
    </row>
    <row r="80" spans="4:16" ht="39.75" customHeight="1" x14ac:dyDescent="0.45">
      <c r="D80" s="26"/>
      <c r="E80" s="26"/>
      <c r="F80" s="27"/>
      <c r="G80" s="27"/>
      <c r="H80" s="28"/>
      <c r="I80" s="29"/>
      <c r="J80" s="29"/>
      <c r="K80" s="30"/>
      <c r="L80" s="36"/>
      <c r="M80" s="36"/>
      <c r="N80" s="36"/>
      <c r="O80" s="36"/>
      <c r="P80" s="36"/>
    </row>
    <row r="81" spans="4:16" ht="39.75" customHeight="1" x14ac:dyDescent="0.45">
      <c r="D81" s="26"/>
      <c r="E81" s="26"/>
      <c r="F81" s="27"/>
      <c r="G81" s="27"/>
      <c r="H81" s="28" t="s">
        <v>51</v>
      </c>
      <c r="I81" s="29">
        <v>952982</v>
      </c>
      <c r="J81" s="29"/>
      <c r="K81" s="30"/>
      <c r="L81" s="36"/>
      <c r="M81" s="36"/>
      <c r="N81" s="36"/>
      <c r="O81" s="36"/>
      <c r="P81" s="36"/>
    </row>
    <row r="82" spans="4:16" ht="39.75" customHeight="1" x14ac:dyDescent="0.45">
      <c r="D82" s="26"/>
      <c r="E82" s="26"/>
      <c r="F82" s="27"/>
      <c r="G82" s="27"/>
      <c r="H82" s="28" t="s">
        <v>52</v>
      </c>
      <c r="I82" s="29">
        <v>953073</v>
      </c>
      <c r="J82" s="29"/>
      <c r="K82" s="30"/>
      <c r="L82" s="36"/>
      <c r="M82" s="36"/>
      <c r="N82" s="36"/>
      <c r="O82" s="36"/>
      <c r="P82" s="36"/>
    </row>
    <row r="83" spans="4:16" ht="39.75" customHeight="1" x14ac:dyDescent="0.45">
      <c r="D83" s="26"/>
      <c r="E83" s="26"/>
      <c r="F83" s="27"/>
      <c r="G83" s="27"/>
      <c r="H83" s="28"/>
      <c r="I83" s="29">
        <f>I82-I81</f>
        <v>91</v>
      </c>
      <c r="J83" s="29"/>
      <c r="K83" s="30"/>
      <c r="L83" s="36"/>
      <c r="M83" s="36"/>
      <c r="N83" s="36"/>
      <c r="O83" s="36"/>
      <c r="P83" s="36"/>
    </row>
    <row r="84" spans="4:16" ht="39.75" customHeight="1" x14ac:dyDescent="0.45">
      <c r="D84" s="26"/>
      <c r="E84" s="26"/>
      <c r="F84" s="27"/>
      <c r="G84" s="27"/>
      <c r="H84" s="28"/>
      <c r="I84" s="29"/>
      <c r="J84" s="29"/>
      <c r="K84" s="30"/>
      <c r="L84" s="36"/>
      <c r="M84" s="36"/>
      <c r="N84" s="36"/>
      <c r="O84" s="36"/>
      <c r="P84" s="36"/>
    </row>
    <row r="85" spans="4:16" ht="39.75" customHeight="1" x14ac:dyDescent="0.45">
      <c r="D85" s="26"/>
      <c r="E85" s="26"/>
      <c r="F85" s="27"/>
      <c r="G85" s="27"/>
      <c r="H85" s="62" t="s">
        <v>101</v>
      </c>
      <c r="I85" s="29">
        <v>96</v>
      </c>
      <c r="J85" s="44" t="s">
        <v>92</v>
      </c>
      <c r="K85" s="30">
        <v>284756530</v>
      </c>
      <c r="L85" s="36"/>
      <c r="M85" s="37" t="s">
        <v>104</v>
      </c>
      <c r="N85" s="36"/>
      <c r="O85" s="36">
        <v>11</v>
      </c>
      <c r="P85" s="36"/>
    </row>
    <row r="86" spans="4:16" ht="39.75" customHeight="1" x14ac:dyDescent="0.45">
      <c r="D86" s="26"/>
      <c r="E86" s="26"/>
      <c r="F86" s="27"/>
      <c r="G86" s="27"/>
      <c r="H86" s="28" t="s">
        <v>55</v>
      </c>
      <c r="I86" s="29">
        <v>595</v>
      </c>
      <c r="J86" s="44" t="s">
        <v>58</v>
      </c>
      <c r="K86" s="30">
        <v>14204</v>
      </c>
      <c r="L86" s="36"/>
      <c r="M86" s="37" t="s">
        <v>82</v>
      </c>
      <c r="N86" s="36"/>
      <c r="O86" s="57">
        <v>0</v>
      </c>
      <c r="P86" s="36"/>
    </row>
    <row r="87" spans="4:16" ht="39.75" customHeight="1" x14ac:dyDescent="0.45">
      <c r="D87" s="26"/>
      <c r="E87" s="26"/>
      <c r="F87" s="27"/>
      <c r="G87" s="27"/>
      <c r="H87" s="28"/>
      <c r="I87" s="29"/>
      <c r="J87" s="29"/>
      <c r="K87" s="30"/>
      <c r="L87" s="36"/>
      <c r="M87" s="36"/>
      <c r="N87" s="36"/>
      <c r="O87" s="36"/>
      <c r="P87" s="36"/>
    </row>
    <row r="88" spans="4:16" ht="39.75" customHeight="1" x14ac:dyDescent="0.45">
      <c r="D88" s="26"/>
      <c r="E88" s="26"/>
      <c r="F88" s="27"/>
      <c r="G88" s="27"/>
      <c r="H88" s="28" t="s">
        <v>56</v>
      </c>
      <c r="I88" s="29">
        <f>I86+O86</f>
        <v>595</v>
      </c>
      <c r="J88" s="58" t="s">
        <v>107</v>
      </c>
      <c r="K88" s="59"/>
      <c r="L88" s="36"/>
      <c r="M88" s="36"/>
      <c r="N88" s="36"/>
      <c r="O88" s="36"/>
      <c r="P88" s="36"/>
    </row>
    <row r="89" spans="4:16" ht="39.75" customHeight="1" x14ac:dyDescent="0.45">
      <c r="D89" s="38"/>
      <c r="E89" s="38" t="s">
        <v>29</v>
      </c>
      <c r="F89" s="39" t="s">
        <v>28</v>
      </c>
      <c r="G89" s="39" t="s">
        <v>0</v>
      </c>
      <c r="H89" s="40" t="s">
        <v>26</v>
      </c>
      <c r="I89" s="41" t="s">
        <v>18</v>
      </c>
      <c r="J89" s="41" t="s">
        <v>30</v>
      </c>
      <c r="K89" s="42" t="s">
        <v>27</v>
      </c>
      <c r="L89" s="43" t="s">
        <v>33</v>
      </c>
      <c r="M89" s="43" t="s">
        <v>34</v>
      </c>
      <c r="N89" s="43" t="s">
        <v>42</v>
      </c>
      <c r="O89" s="43" t="s">
        <v>100</v>
      </c>
      <c r="P89" s="43" t="s">
        <v>43</v>
      </c>
    </row>
    <row r="90" spans="4:16" ht="39.75" customHeight="1" x14ac:dyDescent="0.45">
      <c r="D90" s="26"/>
      <c r="E90" s="26">
        <v>15236</v>
      </c>
      <c r="F90" s="32">
        <v>0.27777777777777779</v>
      </c>
      <c r="G90" s="33">
        <v>46218</v>
      </c>
      <c r="H90" s="55" t="s">
        <v>35</v>
      </c>
      <c r="I90" s="56">
        <v>120</v>
      </c>
      <c r="J90" s="56">
        <v>85677</v>
      </c>
      <c r="K90" s="30" t="s">
        <v>84</v>
      </c>
      <c r="L90" s="36">
        <v>953073</v>
      </c>
      <c r="M90" s="36">
        <v>953193</v>
      </c>
      <c r="N90" s="36" t="s">
        <v>44</v>
      </c>
      <c r="O90" s="36">
        <f>I86-I90</f>
        <v>475</v>
      </c>
      <c r="P90" s="36"/>
    </row>
    <row r="91" spans="4:16" ht="39.75" customHeight="1" x14ac:dyDescent="0.45">
      <c r="D91" s="26"/>
      <c r="E91" s="26">
        <v>15237</v>
      </c>
      <c r="F91" s="32">
        <v>0.28472222222222221</v>
      </c>
      <c r="G91" s="33">
        <v>46218</v>
      </c>
      <c r="H91" s="55" t="s">
        <v>39</v>
      </c>
      <c r="I91" s="56">
        <v>100</v>
      </c>
      <c r="J91" s="56">
        <v>30492</v>
      </c>
      <c r="K91" s="30" t="s">
        <v>69</v>
      </c>
      <c r="L91" s="36">
        <v>953183</v>
      </c>
      <c r="M91" s="36">
        <v>953293</v>
      </c>
      <c r="N91" s="36" t="s">
        <v>44</v>
      </c>
      <c r="O91" s="36">
        <f>O90-I91</f>
        <v>375</v>
      </c>
      <c r="P91" s="36"/>
    </row>
    <row r="92" spans="4:16" ht="39.75" customHeight="1" x14ac:dyDescent="0.45">
      <c r="D92" s="26"/>
      <c r="E92" s="26">
        <v>15238</v>
      </c>
      <c r="F92" s="32">
        <v>0.33263888888888887</v>
      </c>
      <c r="G92" s="33">
        <v>46218</v>
      </c>
      <c r="H92" s="55" t="s">
        <v>71</v>
      </c>
      <c r="I92" s="56">
        <v>120</v>
      </c>
      <c r="J92" s="56">
        <v>1037859</v>
      </c>
      <c r="K92" s="30" t="s">
        <v>72</v>
      </c>
      <c r="L92" s="36">
        <v>953293</v>
      </c>
      <c r="M92" s="36">
        <v>953413</v>
      </c>
      <c r="N92" s="36" t="s">
        <v>68</v>
      </c>
      <c r="O92" s="36">
        <f>O91-I92</f>
        <v>255</v>
      </c>
      <c r="P92" s="36"/>
    </row>
    <row r="93" spans="4:16" ht="39.75" customHeight="1" x14ac:dyDescent="0.45">
      <c r="D93" s="26"/>
      <c r="E93" s="26"/>
      <c r="F93" s="27"/>
      <c r="G93" s="27"/>
      <c r="H93" s="28" t="s">
        <v>50</v>
      </c>
      <c r="I93" s="29">
        <f>SUM(I90:I92)</f>
        <v>340</v>
      </c>
      <c r="J93" s="29"/>
      <c r="K93" s="30"/>
      <c r="L93" s="36"/>
      <c r="M93" s="36"/>
      <c r="N93" s="36"/>
      <c r="O93" s="36"/>
      <c r="P93" s="36"/>
    </row>
    <row r="94" spans="4:16" ht="39.75" customHeight="1" x14ac:dyDescent="0.45">
      <c r="D94" s="26"/>
      <c r="E94" s="26"/>
      <c r="F94" s="27"/>
      <c r="G94" s="27"/>
      <c r="H94" s="28"/>
      <c r="I94" s="29"/>
      <c r="J94" s="29"/>
      <c r="K94" s="30"/>
      <c r="L94" s="36"/>
      <c r="M94" s="36"/>
      <c r="N94" s="36"/>
      <c r="O94" s="36"/>
      <c r="P94" s="36"/>
    </row>
    <row r="95" spans="4:16" ht="39.75" customHeight="1" x14ac:dyDescent="0.45">
      <c r="D95" s="26"/>
      <c r="E95" s="26"/>
      <c r="F95" s="27"/>
      <c r="G95" s="27"/>
      <c r="H95" s="28" t="s">
        <v>51</v>
      </c>
      <c r="I95" s="29">
        <v>953073</v>
      </c>
      <c r="J95" s="29"/>
      <c r="K95" s="30"/>
      <c r="L95" s="36"/>
      <c r="M95" s="36"/>
      <c r="N95" s="36"/>
      <c r="O95" s="36"/>
      <c r="P95" s="36"/>
    </row>
    <row r="96" spans="4:16" ht="39.75" customHeight="1" x14ac:dyDescent="0.45">
      <c r="D96" s="26"/>
      <c r="E96" s="26"/>
      <c r="F96" s="27"/>
      <c r="G96" s="27"/>
      <c r="H96" s="28" t="s">
        <v>52</v>
      </c>
      <c r="I96" s="29">
        <v>953413</v>
      </c>
      <c r="J96" s="29"/>
      <c r="K96" s="30"/>
      <c r="L96" s="36"/>
      <c r="M96" s="36"/>
      <c r="N96" s="36"/>
      <c r="O96" s="36"/>
      <c r="P96" s="36"/>
    </row>
    <row r="97" spans="4:16" ht="39.75" customHeight="1" x14ac:dyDescent="0.45">
      <c r="D97" s="26"/>
      <c r="E97" s="26"/>
      <c r="F97" s="27"/>
      <c r="G97" s="27"/>
      <c r="H97" s="28"/>
      <c r="I97" s="29">
        <f>I96-I95</f>
        <v>340</v>
      </c>
      <c r="J97" s="29"/>
      <c r="K97" s="30"/>
      <c r="L97" s="36"/>
      <c r="M97" s="36"/>
      <c r="N97" s="36"/>
      <c r="O97" s="36"/>
      <c r="P97" s="36"/>
    </row>
    <row r="98" spans="4:16" ht="39.75" customHeight="1" x14ac:dyDescent="0.45">
      <c r="D98" s="26"/>
      <c r="E98" s="26"/>
      <c r="F98" s="27"/>
      <c r="G98" s="27"/>
      <c r="H98" s="28"/>
      <c r="I98" s="29"/>
      <c r="J98" s="29"/>
      <c r="K98" s="30"/>
      <c r="L98" s="36"/>
      <c r="M98" s="36"/>
      <c r="N98" s="36"/>
      <c r="O98" s="36"/>
      <c r="P98" s="36"/>
    </row>
    <row r="99" spans="4:16" ht="39.75" customHeight="1" x14ac:dyDescent="0.45">
      <c r="D99" s="26"/>
      <c r="E99" s="26"/>
      <c r="F99" s="27"/>
      <c r="G99" s="27"/>
      <c r="H99" s="28" t="s">
        <v>54</v>
      </c>
      <c r="I99" s="29">
        <v>595</v>
      </c>
      <c r="J99" s="44" t="s">
        <v>58</v>
      </c>
      <c r="K99" s="30">
        <v>14204</v>
      </c>
      <c r="L99" s="37"/>
      <c r="M99" s="37" t="s">
        <v>104</v>
      </c>
      <c r="N99" s="36"/>
      <c r="O99" s="36">
        <v>0</v>
      </c>
      <c r="P99" s="36"/>
    </row>
    <row r="100" spans="4:16" ht="39.75" customHeight="1" x14ac:dyDescent="0.45">
      <c r="D100" s="26"/>
      <c r="E100" s="26"/>
      <c r="F100" s="27"/>
      <c r="G100" s="27"/>
      <c r="H100" s="28" t="s">
        <v>55</v>
      </c>
      <c r="I100" s="29">
        <v>220</v>
      </c>
      <c r="J100" s="44" t="s">
        <v>58</v>
      </c>
      <c r="K100" s="30">
        <v>14207</v>
      </c>
      <c r="L100" s="37"/>
      <c r="M100" s="37" t="s">
        <v>82</v>
      </c>
      <c r="N100" s="36"/>
      <c r="O100" s="36">
        <v>255</v>
      </c>
      <c r="P100" s="36"/>
    </row>
    <row r="101" spans="4:16" ht="39.75" customHeight="1" x14ac:dyDescent="0.45">
      <c r="D101" s="26"/>
      <c r="E101" s="26"/>
      <c r="F101" s="27"/>
      <c r="G101" s="27"/>
      <c r="H101" s="28"/>
      <c r="I101" s="29"/>
      <c r="J101" s="29"/>
      <c r="K101" s="30"/>
      <c r="L101" s="36"/>
      <c r="M101" s="36"/>
      <c r="N101" s="36"/>
      <c r="O101" s="36"/>
      <c r="P101" s="36"/>
    </row>
    <row r="102" spans="4:16" ht="39.75" customHeight="1" x14ac:dyDescent="0.45">
      <c r="D102" s="26"/>
      <c r="E102" s="26"/>
      <c r="F102" s="27"/>
      <c r="G102" s="27"/>
      <c r="H102" s="28" t="s">
        <v>56</v>
      </c>
      <c r="I102" s="29">
        <f>I100+O100</f>
        <v>475</v>
      </c>
      <c r="J102" s="58" t="s">
        <v>106</v>
      </c>
      <c r="K102" s="59"/>
      <c r="L102" s="36"/>
      <c r="M102" s="36"/>
      <c r="N102" s="36"/>
      <c r="O102" s="36"/>
      <c r="P102" s="36"/>
    </row>
    <row r="103" spans="4:16" ht="39.75" customHeight="1" x14ac:dyDescent="0.45">
      <c r="D103" s="38"/>
      <c r="E103" s="38" t="s">
        <v>29</v>
      </c>
      <c r="F103" s="39" t="s">
        <v>28</v>
      </c>
      <c r="G103" s="39" t="s">
        <v>0</v>
      </c>
      <c r="H103" s="40" t="s">
        <v>26</v>
      </c>
      <c r="I103" s="41" t="s">
        <v>18</v>
      </c>
      <c r="J103" s="41" t="s">
        <v>30</v>
      </c>
      <c r="K103" s="42" t="s">
        <v>27</v>
      </c>
      <c r="L103" s="43" t="s">
        <v>33</v>
      </c>
      <c r="M103" s="43" t="s">
        <v>34</v>
      </c>
      <c r="N103" s="43" t="s">
        <v>42</v>
      </c>
      <c r="O103" s="43" t="s">
        <v>100</v>
      </c>
      <c r="P103" s="43" t="s">
        <v>43</v>
      </c>
    </row>
    <row r="104" spans="4:16" ht="39.75" customHeight="1" x14ac:dyDescent="0.45">
      <c r="D104" s="26"/>
      <c r="E104" s="26"/>
      <c r="F104" s="27"/>
      <c r="G104" s="27"/>
      <c r="H104" s="28"/>
      <c r="I104" s="29"/>
      <c r="J104" s="29"/>
      <c r="K104" s="30"/>
      <c r="L104" s="36"/>
      <c r="M104" s="36"/>
      <c r="N104" s="36"/>
      <c r="O104" s="36"/>
      <c r="P104" s="36"/>
    </row>
    <row r="105" spans="4:16" ht="39.75" customHeight="1" x14ac:dyDescent="0.45">
      <c r="D105" s="26"/>
      <c r="E105" s="26"/>
      <c r="F105" s="27"/>
      <c r="G105" s="27"/>
      <c r="H105" s="28"/>
      <c r="I105" s="29"/>
      <c r="J105" s="29"/>
      <c r="K105" s="30"/>
      <c r="L105" s="36"/>
      <c r="M105" s="36"/>
      <c r="N105" s="36"/>
      <c r="O105" s="36"/>
      <c r="P105" s="36"/>
    </row>
    <row r="106" spans="4:16" ht="39.75" customHeight="1" x14ac:dyDescent="0.45">
      <c r="D106" s="26"/>
      <c r="E106" s="26"/>
      <c r="F106" s="27"/>
      <c r="G106" s="27"/>
      <c r="H106" s="28"/>
      <c r="I106" s="29"/>
      <c r="J106" s="29"/>
      <c r="K106" s="30"/>
      <c r="L106" s="36"/>
      <c r="M106" s="36"/>
      <c r="N106" s="36"/>
      <c r="O106" s="36"/>
      <c r="P106" s="36"/>
    </row>
    <row r="107" spans="4:16" ht="39.75" customHeight="1" x14ac:dyDescent="0.45">
      <c r="D107" s="26"/>
      <c r="E107" s="26"/>
      <c r="F107" s="27"/>
      <c r="G107" s="27"/>
      <c r="H107" s="28"/>
      <c r="I107" s="29"/>
      <c r="J107" s="29"/>
      <c r="K107" s="30"/>
      <c r="L107" s="36"/>
      <c r="M107" s="36"/>
      <c r="N107" s="36"/>
      <c r="O107" s="36"/>
      <c r="P107" s="36"/>
    </row>
    <row r="108" spans="4:16" ht="39.75" customHeight="1" x14ac:dyDescent="0.45">
      <c r="D108" s="26"/>
      <c r="E108" s="26"/>
      <c r="F108" s="27"/>
      <c r="G108" s="27"/>
      <c r="H108" s="28"/>
      <c r="I108" s="29"/>
      <c r="J108" s="29"/>
      <c r="K108" s="30"/>
      <c r="L108" s="36"/>
      <c r="M108" s="36"/>
      <c r="N108" s="36"/>
      <c r="O108" s="36"/>
      <c r="P108" s="36"/>
    </row>
    <row r="109" spans="4:16" ht="39.75" customHeight="1" x14ac:dyDescent="0.45">
      <c r="D109" s="26"/>
      <c r="E109" s="26"/>
      <c r="F109" s="27"/>
      <c r="G109" s="27"/>
      <c r="H109" s="28"/>
      <c r="I109" s="29"/>
      <c r="J109" s="29"/>
      <c r="K109" s="30"/>
      <c r="L109" s="36"/>
      <c r="M109" s="36"/>
      <c r="N109" s="36"/>
      <c r="O109" s="36"/>
      <c r="P109" s="36"/>
    </row>
    <row r="110" spans="4:16" ht="39.75" customHeight="1" x14ac:dyDescent="0.45">
      <c r="D110" s="26"/>
      <c r="E110" s="26"/>
      <c r="F110" s="27"/>
      <c r="G110" s="27"/>
      <c r="H110" s="28"/>
      <c r="I110" s="29"/>
      <c r="J110" s="29"/>
      <c r="K110" s="30"/>
      <c r="L110" s="36"/>
      <c r="M110" s="36"/>
      <c r="N110" s="36"/>
      <c r="O110" s="36"/>
      <c r="P110" s="36"/>
    </row>
    <row r="111" spans="4:16" ht="39.75" customHeight="1" x14ac:dyDescent="0.45">
      <c r="D111" s="26"/>
      <c r="E111" s="26"/>
      <c r="F111" s="27"/>
      <c r="G111" s="27"/>
      <c r="H111" s="28"/>
      <c r="I111" s="29"/>
      <c r="J111" s="29"/>
      <c r="K111" s="30"/>
      <c r="L111" s="36"/>
      <c r="M111" s="36"/>
      <c r="N111" s="36"/>
      <c r="O111" s="36"/>
      <c r="P111" s="36"/>
    </row>
    <row r="112" spans="4:16" ht="39.75" customHeight="1" x14ac:dyDescent="0.45">
      <c r="D112" s="26"/>
      <c r="E112" s="26"/>
      <c r="F112" s="27"/>
      <c r="G112" s="27"/>
      <c r="H112" s="28"/>
      <c r="I112" s="29"/>
      <c r="J112" s="29"/>
      <c r="K112" s="30"/>
      <c r="L112" s="36"/>
      <c r="M112" s="36"/>
      <c r="N112" s="36"/>
      <c r="O112" s="36"/>
      <c r="P112" s="36"/>
    </row>
    <row r="113" spans="4:16" ht="39.75" customHeight="1" x14ac:dyDescent="0.45">
      <c r="D113" s="26"/>
      <c r="E113" s="26"/>
      <c r="F113" s="27"/>
      <c r="G113" s="27"/>
      <c r="H113" s="28"/>
      <c r="I113" s="29"/>
      <c r="J113" s="29"/>
      <c r="K113" s="30"/>
      <c r="L113" s="36"/>
      <c r="M113" s="36"/>
      <c r="N113" s="36"/>
      <c r="O113" s="36"/>
      <c r="P113" s="36"/>
    </row>
    <row r="114" spans="4:16" ht="39.75" customHeight="1" x14ac:dyDescent="0.45">
      <c r="D114" s="26"/>
      <c r="E114" s="26"/>
      <c r="F114" s="27"/>
      <c r="G114" s="27"/>
      <c r="H114" s="28"/>
      <c r="I114" s="29"/>
      <c r="J114" s="29"/>
      <c r="K114" s="30"/>
      <c r="L114" s="36"/>
      <c r="M114" s="36"/>
      <c r="N114" s="36"/>
      <c r="O114" s="36"/>
      <c r="P114" s="36"/>
    </row>
    <row r="115" spans="4:16" ht="39.75" customHeight="1" x14ac:dyDescent="0.45">
      <c r="D115" s="26"/>
      <c r="E115" s="26"/>
      <c r="F115" s="27"/>
      <c r="G115" s="27"/>
      <c r="H115" s="28"/>
      <c r="I115" s="29"/>
      <c r="J115" s="29"/>
      <c r="K115" s="30"/>
      <c r="L115" s="36"/>
      <c r="M115" s="36"/>
      <c r="N115" s="36"/>
      <c r="O115" s="36"/>
      <c r="P115" s="36"/>
    </row>
    <row r="116" spans="4:16" ht="39.75" customHeight="1" x14ac:dyDescent="0.45">
      <c r="D116" s="26"/>
      <c r="E116" s="26"/>
      <c r="F116" s="27"/>
      <c r="G116" s="27"/>
      <c r="H116" s="28"/>
      <c r="I116" s="29"/>
      <c r="J116" s="29"/>
      <c r="K116" s="30"/>
      <c r="L116" s="36"/>
      <c r="M116" s="36"/>
      <c r="N116" s="36"/>
      <c r="O116" s="36"/>
      <c r="P116" s="36"/>
    </row>
    <row r="117" spans="4:16" ht="39.75" customHeight="1" x14ac:dyDescent="0.45">
      <c r="D117" s="26"/>
      <c r="E117" s="26"/>
      <c r="F117" s="27"/>
      <c r="G117" s="27"/>
      <c r="H117" s="28"/>
      <c r="I117" s="29"/>
      <c r="J117" s="29"/>
      <c r="K117" s="30"/>
      <c r="L117" s="36"/>
      <c r="M117" s="36"/>
      <c r="N117" s="36"/>
      <c r="O117" s="36"/>
      <c r="P117" s="36"/>
    </row>
    <row r="118" spans="4:16" ht="39.75" customHeight="1" x14ac:dyDescent="0.45">
      <c r="D118" s="26"/>
      <c r="E118" s="26"/>
      <c r="F118" s="27"/>
      <c r="G118" s="27"/>
      <c r="H118" s="28"/>
      <c r="I118" s="29"/>
      <c r="J118" s="29"/>
      <c r="K118" s="30"/>
      <c r="L118" s="36"/>
      <c r="M118" s="36"/>
      <c r="N118" s="36"/>
      <c r="O118" s="36"/>
      <c r="P118" s="36"/>
    </row>
    <row r="119" spans="4:16" ht="39.75" customHeight="1" x14ac:dyDescent="0.45">
      <c r="D119" s="26"/>
      <c r="E119" s="26"/>
      <c r="F119" s="27"/>
      <c r="G119" s="27"/>
      <c r="H119" s="28"/>
      <c r="I119" s="29"/>
      <c r="J119" s="29"/>
      <c r="K119" s="30"/>
      <c r="L119" s="36"/>
      <c r="M119" s="36"/>
      <c r="N119" s="36"/>
      <c r="O119" s="36"/>
      <c r="P119" s="36"/>
    </row>
    <row r="120" spans="4:16" ht="39.75" customHeight="1" x14ac:dyDescent="0.45">
      <c r="D120" s="26"/>
      <c r="E120" s="26"/>
      <c r="F120" s="27"/>
      <c r="G120" s="27"/>
      <c r="H120" s="28"/>
      <c r="I120" s="29"/>
      <c r="J120" s="29"/>
      <c r="K120" s="30"/>
      <c r="L120" s="36"/>
      <c r="M120" s="36"/>
      <c r="N120" s="36"/>
      <c r="O120" s="36"/>
      <c r="P120" s="36"/>
    </row>
    <row r="121" spans="4:16" ht="39.75" customHeight="1" x14ac:dyDescent="0.45">
      <c r="D121" s="26"/>
      <c r="E121" s="26"/>
      <c r="F121" s="27"/>
      <c r="G121" s="27"/>
      <c r="H121" s="28"/>
      <c r="I121" s="29"/>
      <c r="J121" s="29"/>
      <c r="K121" s="30"/>
      <c r="L121" s="36"/>
      <c r="M121" s="36"/>
      <c r="N121" s="36"/>
      <c r="O121" s="36"/>
      <c r="P121" s="36"/>
    </row>
    <row r="122" spans="4:16" ht="39.75" customHeight="1" x14ac:dyDescent="0.45">
      <c r="D122" s="26"/>
      <c r="E122" s="26"/>
      <c r="F122" s="27"/>
      <c r="G122" s="27"/>
      <c r="H122" s="28"/>
      <c r="I122" s="29"/>
      <c r="J122" s="29"/>
      <c r="K122" s="30"/>
      <c r="L122" s="36"/>
      <c r="M122" s="36"/>
      <c r="N122" s="36"/>
      <c r="O122" s="36"/>
      <c r="P122" s="36"/>
    </row>
    <row r="123" spans="4:16" ht="39.75" customHeight="1" x14ac:dyDescent="0.45">
      <c r="D123" s="26"/>
      <c r="E123" s="26"/>
      <c r="F123" s="27"/>
      <c r="G123" s="27"/>
      <c r="H123" s="28"/>
      <c r="I123" s="29"/>
      <c r="J123" s="29"/>
      <c r="K123" s="30"/>
      <c r="L123" s="36"/>
      <c r="M123" s="36"/>
      <c r="N123" s="36"/>
      <c r="O123" s="36"/>
      <c r="P123" s="36"/>
    </row>
    <row r="124" spans="4:16" ht="39.75" customHeight="1" x14ac:dyDescent="0.45">
      <c r="D124" s="26"/>
      <c r="E124" s="26"/>
      <c r="F124" s="27"/>
      <c r="G124" s="27"/>
      <c r="H124" s="28"/>
      <c r="I124" s="29"/>
      <c r="J124" s="29"/>
      <c r="K124" s="30"/>
      <c r="L124" s="36"/>
      <c r="M124" s="36"/>
      <c r="N124" s="36"/>
      <c r="O124" s="36"/>
      <c r="P124" s="36"/>
    </row>
    <row r="125" spans="4:16" ht="39.75" customHeight="1" x14ac:dyDescent="0.45">
      <c r="D125" s="26"/>
      <c r="E125" s="26"/>
      <c r="F125" s="27"/>
      <c r="G125" s="27"/>
      <c r="H125" s="28"/>
      <c r="I125" s="29"/>
      <c r="J125" s="29"/>
      <c r="K125" s="30"/>
      <c r="L125" s="36"/>
      <c r="M125" s="36"/>
      <c r="N125" s="36"/>
      <c r="O125" s="36"/>
      <c r="P125" s="36"/>
    </row>
    <row r="126" spans="4:16" ht="39.75" customHeight="1" x14ac:dyDescent="0.45">
      <c r="D126" s="26"/>
      <c r="E126" s="26"/>
      <c r="F126" s="27"/>
      <c r="G126" s="27"/>
      <c r="H126" s="28"/>
      <c r="I126" s="29"/>
      <c r="J126" s="29"/>
      <c r="K126" s="30"/>
      <c r="L126" s="36"/>
      <c r="M126" s="36"/>
      <c r="N126" s="36"/>
      <c r="O126" s="36"/>
      <c r="P126" s="36"/>
    </row>
    <row r="127" spans="4:16" ht="39.75" customHeight="1" x14ac:dyDescent="0.45">
      <c r="D127" s="26"/>
      <c r="E127" s="26"/>
      <c r="F127" s="27"/>
      <c r="G127" s="27"/>
      <c r="H127" s="28"/>
      <c r="I127" s="29"/>
      <c r="J127" s="29"/>
      <c r="K127" s="30"/>
      <c r="L127" s="36"/>
      <c r="M127" s="36"/>
      <c r="N127" s="36"/>
      <c r="O127" s="36"/>
      <c r="P127" s="36"/>
    </row>
    <row r="128" spans="4:16" ht="39.75" customHeight="1" x14ac:dyDescent="0.45">
      <c r="D128" s="26"/>
      <c r="E128" s="26"/>
      <c r="F128" s="27"/>
      <c r="G128" s="27"/>
      <c r="H128" s="28"/>
      <c r="I128" s="29"/>
      <c r="J128" s="29"/>
      <c r="K128" s="30"/>
      <c r="L128" s="36"/>
      <c r="M128" s="36"/>
      <c r="N128" s="36"/>
      <c r="O128" s="36"/>
      <c r="P128" s="36"/>
    </row>
    <row r="129" spans="4:16" ht="39.75" customHeight="1" x14ac:dyDescent="0.45">
      <c r="D129" s="26"/>
      <c r="E129" s="26"/>
      <c r="F129" s="27"/>
      <c r="G129" s="27"/>
      <c r="H129" s="28"/>
      <c r="I129" s="29"/>
      <c r="J129" s="29"/>
      <c r="K129" s="30"/>
      <c r="L129" s="36"/>
      <c r="M129" s="36"/>
      <c r="N129" s="36"/>
      <c r="O129" s="36"/>
      <c r="P129" s="36"/>
    </row>
    <row r="130" spans="4:16" ht="39.75" customHeight="1" x14ac:dyDescent="0.45">
      <c r="D130" s="26"/>
      <c r="E130" s="26"/>
      <c r="F130" s="27"/>
      <c r="G130" s="27"/>
      <c r="H130" s="28"/>
      <c r="I130" s="29"/>
      <c r="J130" s="29"/>
      <c r="K130" s="30"/>
      <c r="L130" s="36"/>
      <c r="M130" s="36"/>
      <c r="N130" s="36"/>
      <c r="O130" s="36"/>
      <c r="P130" s="36"/>
    </row>
    <row r="131" spans="4:16" ht="39.75" customHeight="1" x14ac:dyDescent="0.45">
      <c r="D131" s="26"/>
      <c r="E131" s="26"/>
      <c r="F131" s="27"/>
      <c r="G131" s="27"/>
      <c r="H131" s="28"/>
      <c r="I131" s="29"/>
      <c r="J131" s="29"/>
      <c r="K131" s="30"/>
      <c r="L131" s="36"/>
      <c r="M131" s="36"/>
      <c r="N131" s="36"/>
      <c r="O131" s="36"/>
      <c r="P131" s="36"/>
    </row>
    <row r="132" spans="4:16" ht="39.75" customHeight="1" x14ac:dyDescent="0.45">
      <c r="D132" s="26"/>
      <c r="E132" s="26"/>
      <c r="F132" s="27"/>
      <c r="G132" s="27"/>
      <c r="H132" s="28"/>
      <c r="I132" s="29"/>
      <c r="J132" s="29"/>
      <c r="K132" s="30"/>
      <c r="L132" s="36"/>
      <c r="M132" s="36"/>
      <c r="N132" s="36"/>
      <c r="O132" s="36"/>
      <c r="P132" s="36"/>
    </row>
    <row r="133" spans="4:16" ht="39.75" customHeight="1" x14ac:dyDescent="0.45">
      <c r="D133" s="26"/>
      <c r="E133" s="26"/>
      <c r="F133" s="27"/>
      <c r="G133" s="27"/>
      <c r="H133" s="28"/>
      <c r="I133" s="29"/>
      <c r="J133" s="29"/>
      <c r="K133" s="30"/>
      <c r="L133" s="36"/>
      <c r="M133" s="36"/>
      <c r="N133" s="36"/>
      <c r="O133" s="36"/>
      <c r="P133" s="36"/>
    </row>
    <row r="134" spans="4:16" ht="39.75" customHeight="1" x14ac:dyDescent="0.45">
      <c r="D134" s="26"/>
      <c r="E134" s="26"/>
      <c r="F134" s="27"/>
      <c r="G134" s="27"/>
      <c r="H134" s="28"/>
      <c r="I134" s="29"/>
      <c r="J134" s="29"/>
      <c r="K134" s="30"/>
      <c r="L134" s="36"/>
      <c r="M134" s="36"/>
      <c r="N134" s="36"/>
      <c r="O134" s="36"/>
      <c r="P134" s="36"/>
    </row>
    <row r="135" spans="4:16" ht="39.75" customHeight="1" x14ac:dyDescent="0.45">
      <c r="D135" s="26"/>
      <c r="E135" s="26"/>
      <c r="F135" s="27"/>
      <c r="G135" s="27"/>
      <c r="H135" s="28"/>
      <c r="I135" s="29"/>
      <c r="J135" s="29"/>
      <c r="K135" s="30"/>
      <c r="L135" s="36"/>
      <c r="M135" s="36"/>
      <c r="N135" s="36"/>
      <c r="O135" s="36"/>
      <c r="P135" s="36"/>
    </row>
    <row r="136" spans="4:16" ht="39.75" customHeight="1" x14ac:dyDescent="0.45">
      <c r="D136" s="26"/>
      <c r="E136" s="26"/>
      <c r="F136" s="27"/>
      <c r="G136" s="27"/>
      <c r="H136" s="28"/>
      <c r="I136" s="29"/>
      <c r="J136" s="29"/>
      <c r="K136" s="30"/>
      <c r="L136" s="36"/>
      <c r="M136" s="36"/>
      <c r="N136" s="36"/>
      <c r="O136" s="36"/>
      <c r="P136" s="36"/>
    </row>
    <row r="137" spans="4:16" ht="39.75" customHeight="1" x14ac:dyDescent="0.45"/>
    <row r="138" spans="4:16" ht="39.75" customHeight="1" x14ac:dyDescent="0.45"/>
    <row r="139" spans="4:16" ht="39.75" customHeight="1" x14ac:dyDescent="0.45"/>
    <row r="140" spans="4:16" ht="39.75" customHeight="1" x14ac:dyDescent="0.45"/>
  </sheetData>
  <pageMargins left="0.17" right="0.17" top="0.39370078740157483" bottom="0.47244094488188981" header="0.31496062992125984" footer="0.31496062992125984"/>
  <pageSetup scale="60" orientation="landscape" r:id="rId1"/>
  <headerFooter alignWithMargins="0">
    <oddHeader>&amp;R&amp;P/&amp;N</oddHeader>
  </headerFooter>
  <colBreaks count="1" manualBreakCount="1">
    <brk id="13" max="6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I21"/>
  <sheetViews>
    <sheetView zoomScale="85" zoomScaleNormal="85" workbookViewId="0">
      <selection activeCell="I15" sqref="I15"/>
    </sheetView>
  </sheetViews>
  <sheetFormatPr baseColWidth="10" defaultRowHeight="12.75" x14ac:dyDescent="0.2"/>
  <cols>
    <col min="1" max="1" width="15.140625" customWidth="1"/>
    <col min="4" max="4" width="13" customWidth="1"/>
    <col min="6" max="6" width="11.42578125" customWidth="1"/>
    <col min="7" max="7" width="28" customWidth="1"/>
    <col min="8" max="8" width="13" customWidth="1"/>
    <col min="9" max="9" width="20.5703125" customWidth="1"/>
  </cols>
  <sheetData>
    <row r="6" spans="1:9" ht="13.5" thickBot="1" x14ac:dyDescent="0.25"/>
    <row r="7" spans="1:9" ht="21.75" thickBot="1" x14ac:dyDescent="0.25">
      <c r="A7" s="8" t="s">
        <v>1</v>
      </c>
      <c r="B7" s="45" t="s">
        <v>6</v>
      </c>
      <c r="C7" s="46"/>
      <c r="D7" s="9" t="s">
        <v>0</v>
      </c>
      <c r="E7" s="45" t="s">
        <v>7</v>
      </c>
      <c r="F7" s="47"/>
      <c r="G7" s="10" t="s">
        <v>12</v>
      </c>
      <c r="H7" s="10" t="s">
        <v>0</v>
      </c>
      <c r="I7" s="10" t="s">
        <v>4</v>
      </c>
    </row>
    <row r="8" spans="1:9" ht="21.75" thickBot="1" x14ac:dyDescent="0.25">
      <c r="A8" s="1" t="s">
        <v>5</v>
      </c>
      <c r="B8" s="48" t="s">
        <v>9</v>
      </c>
      <c r="C8" s="49"/>
      <c r="D8" s="4">
        <v>43732</v>
      </c>
      <c r="E8" s="50">
        <v>44800</v>
      </c>
      <c r="F8" s="51"/>
      <c r="G8" s="11">
        <v>40400</v>
      </c>
      <c r="H8" s="13">
        <v>43736</v>
      </c>
      <c r="I8" s="12">
        <f>E8-G8</f>
        <v>4400</v>
      </c>
    </row>
    <row r="9" spans="1:9" ht="21.75" thickBot="1" x14ac:dyDescent="0.25">
      <c r="A9" s="1" t="s">
        <v>2</v>
      </c>
      <c r="B9" s="48" t="s">
        <v>8</v>
      </c>
      <c r="C9" s="49"/>
      <c r="D9" s="4">
        <v>43739</v>
      </c>
      <c r="E9" s="50">
        <v>49200</v>
      </c>
      <c r="F9" s="51"/>
      <c r="G9" s="11">
        <v>44280</v>
      </c>
      <c r="H9" s="13">
        <v>43743</v>
      </c>
      <c r="I9" s="12">
        <f>E9-G9</f>
        <v>4920</v>
      </c>
    </row>
    <row r="10" spans="1:9" ht="21.75" thickBot="1" x14ac:dyDescent="0.25">
      <c r="A10" s="1" t="s">
        <v>3</v>
      </c>
      <c r="B10" s="48" t="s">
        <v>10</v>
      </c>
      <c r="C10" s="49"/>
      <c r="D10" s="4">
        <v>43746</v>
      </c>
      <c r="E10" s="50">
        <v>48000</v>
      </c>
      <c r="F10" s="51"/>
      <c r="G10" s="5"/>
      <c r="H10" s="4"/>
      <c r="I10" s="3"/>
    </row>
    <row r="11" spans="1:9" ht="21.75" thickBot="1" x14ac:dyDescent="0.25">
      <c r="A11" s="1"/>
      <c r="B11" s="48"/>
      <c r="C11" s="49"/>
      <c r="D11" s="2"/>
      <c r="E11" s="50"/>
      <c r="F11" s="51"/>
      <c r="G11" s="53" t="s">
        <v>11</v>
      </c>
      <c r="H11" s="54"/>
      <c r="I11" s="7">
        <f>I9+I8</f>
        <v>9320</v>
      </c>
    </row>
    <row r="12" spans="1:9" ht="21.75" thickBot="1" x14ac:dyDescent="0.25">
      <c r="A12" s="1"/>
      <c r="B12" s="48"/>
      <c r="C12" s="49"/>
      <c r="D12" s="2"/>
      <c r="E12" s="50"/>
      <c r="F12" s="51"/>
      <c r="G12" s="5"/>
      <c r="H12" s="3"/>
      <c r="I12" s="3"/>
    </row>
    <row r="13" spans="1:9" ht="21.75" thickBot="1" x14ac:dyDescent="0.25">
      <c r="A13" s="1"/>
      <c r="B13" s="48"/>
      <c r="C13" s="49"/>
      <c r="D13" s="2"/>
      <c r="E13" s="50"/>
      <c r="F13" s="51"/>
      <c r="G13" s="5"/>
      <c r="H13" s="3"/>
    </row>
    <row r="14" spans="1:9" ht="21.75" thickBot="1" x14ac:dyDescent="0.25">
      <c r="A14" s="1"/>
      <c r="B14" s="48"/>
      <c r="C14" s="49"/>
      <c r="D14" s="2"/>
      <c r="E14" s="50"/>
      <c r="F14" s="51"/>
      <c r="G14" s="6"/>
    </row>
    <row r="15" spans="1:9" ht="21.75" thickBot="1" x14ac:dyDescent="0.25">
      <c r="A15" s="1"/>
      <c r="B15" s="48"/>
      <c r="C15" s="49"/>
      <c r="D15" s="2"/>
      <c r="E15" s="50"/>
      <c r="F15" s="51"/>
      <c r="G15" s="1"/>
    </row>
    <row r="16" spans="1:9" ht="21.75" thickBot="1" x14ac:dyDescent="0.25">
      <c r="A16" s="1"/>
      <c r="B16" s="48"/>
      <c r="C16" s="49"/>
      <c r="D16" s="2"/>
      <c r="E16" s="50"/>
      <c r="F16" s="51"/>
      <c r="G16" s="1"/>
    </row>
    <row r="17" spans="1:7" ht="21.75" thickBot="1" x14ac:dyDescent="0.25">
      <c r="A17" s="1"/>
      <c r="B17" s="48"/>
      <c r="C17" s="49"/>
      <c r="D17" s="2"/>
      <c r="E17" s="50"/>
      <c r="F17" s="51"/>
      <c r="G17" s="1"/>
    </row>
    <row r="18" spans="1:7" ht="21.75" thickBot="1" x14ac:dyDescent="0.25">
      <c r="A18" s="1"/>
      <c r="B18" s="48"/>
      <c r="C18" s="49"/>
      <c r="D18" s="2"/>
      <c r="E18" s="50"/>
      <c r="F18" s="51"/>
      <c r="G18" s="1"/>
    </row>
    <row r="19" spans="1:7" ht="21.75" thickBot="1" x14ac:dyDescent="0.25">
      <c r="A19" s="1"/>
      <c r="B19" s="48"/>
      <c r="C19" s="49"/>
      <c r="D19" s="2"/>
      <c r="E19" s="50"/>
      <c r="F19" s="51"/>
      <c r="G19" s="1"/>
    </row>
    <row r="20" spans="1:7" ht="21.75" thickBot="1" x14ac:dyDescent="0.25">
      <c r="A20" s="1"/>
      <c r="B20" s="48"/>
      <c r="C20" s="49"/>
      <c r="D20" s="2"/>
      <c r="E20" s="50"/>
      <c r="F20" s="51"/>
      <c r="G20" s="1"/>
    </row>
    <row r="21" spans="1:7" ht="21.75" thickBot="1" x14ac:dyDescent="0.25">
      <c r="A21" s="1"/>
      <c r="B21" s="48"/>
      <c r="C21" s="49"/>
      <c r="D21" s="2"/>
      <c r="E21" s="48"/>
      <c r="F21" s="52"/>
      <c r="G21" s="1"/>
    </row>
  </sheetData>
  <mergeCells count="31">
    <mergeCell ref="G11:H11"/>
    <mergeCell ref="B19:C19"/>
    <mergeCell ref="E19:F19"/>
    <mergeCell ref="B20:C20"/>
    <mergeCell ref="E20:F20"/>
    <mergeCell ref="B13:C13"/>
    <mergeCell ref="E13:F13"/>
    <mergeCell ref="B14:C14"/>
    <mergeCell ref="E14:F14"/>
    <mergeCell ref="B15:C15"/>
    <mergeCell ref="E15:F15"/>
    <mergeCell ref="B21:C21"/>
    <mergeCell ref="E21:F21"/>
    <mergeCell ref="B16:C16"/>
    <mergeCell ref="E16:F16"/>
    <mergeCell ref="B17:C17"/>
    <mergeCell ref="E17:F17"/>
    <mergeCell ref="B18:C18"/>
    <mergeCell ref="E18:F18"/>
    <mergeCell ref="B10:C10"/>
    <mergeCell ref="E10:F10"/>
    <mergeCell ref="B11:C11"/>
    <mergeCell ref="E11:F11"/>
    <mergeCell ref="B12:C12"/>
    <mergeCell ref="E12:F12"/>
    <mergeCell ref="B7:C7"/>
    <mergeCell ref="E7:F7"/>
    <mergeCell ref="B8:C8"/>
    <mergeCell ref="E8:F8"/>
    <mergeCell ref="B9:C9"/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G31"/>
  <sheetViews>
    <sheetView workbookViewId="0">
      <selection activeCell="G29" sqref="G29"/>
    </sheetView>
  </sheetViews>
  <sheetFormatPr baseColWidth="10" defaultRowHeight="12.75" x14ac:dyDescent="0.2"/>
  <cols>
    <col min="5" max="5" width="21.140625" customWidth="1"/>
  </cols>
  <sheetData>
    <row r="6" spans="5:7" x14ac:dyDescent="0.2">
      <c r="F6" s="15">
        <v>43753</v>
      </c>
      <c r="G6" s="15">
        <v>43753</v>
      </c>
    </row>
    <row r="7" spans="5:7" x14ac:dyDescent="0.2">
      <c r="F7" s="14" t="s">
        <v>13</v>
      </c>
      <c r="G7" s="14" t="s">
        <v>14</v>
      </c>
    </row>
    <row r="8" spans="5:7" x14ac:dyDescent="0.2">
      <c r="E8" s="14" t="s">
        <v>15</v>
      </c>
      <c r="F8">
        <v>2</v>
      </c>
      <c r="G8">
        <v>2</v>
      </c>
    </row>
    <row r="9" spans="5:7" x14ac:dyDescent="0.2">
      <c r="E9" s="14" t="s">
        <v>16</v>
      </c>
      <c r="F9">
        <v>3</v>
      </c>
      <c r="G9">
        <v>2</v>
      </c>
    </row>
    <row r="10" spans="5:7" x14ac:dyDescent="0.2">
      <c r="E10" s="14" t="s">
        <v>17</v>
      </c>
      <c r="F10">
        <v>2</v>
      </c>
      <c r="G10">
        <v>2</v>
      </c>
    </row>
    <row r="11" spans="5:7" x14ac:dyDescent="0.2">
      <c r="F11">
        <f>SUM(F8:F10)</f>
        <v>7</v>
      </c>
      <c r="G11">
        <f>SUM(G8:G10)</f>
        <v>6</v>
      </c>
    </row>
    <row r="17" spans="5:6" x14ac:dyDescent="0.2">
      <c r="F17" s="17"/>
    </row>
    <row r="18" spans="5:6" x14ac:dyDescent="0.2">
      <c r="E18" s="16"/>
      <c r="F18" s="17"/>
    </row>
    <row r="19" spans="5:6" x14ac:dyDescent="0.2">
      <c r="E19" s="16" t="s">
        <v>19</v>
      </c>
      <c r="F19" s="17">
        <v>262454.40000000002</v>
      </c>
    </row>
    <row r="20" spans="5:6" x14ac:dyDescent="0.2">
      <c r="E20" s="16"/>
      <c r="F20" s="17"/>
    </row>
    <row r="21" spans="5:6" x14ac:dyDescent="0.2">
      <c r="E21" s="16" t="s">
        <v>20</v>
      </c>
      <c r="F21" s="17">
        <v>262454.40000000002</v>
      </c>
    </row>
    <row r="22" spans="5:6" x14ac:dyDescent="0.2">
      <c r="E22" s="16" t="s">
        <v>21</v>
      </c>
      <c r="F22" s="17">
        <v>24514.35</v>
      </c>
    </row>
    <row r="23" spans="5:6" x14ac:dyDescent="0.2">
      <c r="E23" s="16" t="s">
        <v>22</v>
      </c>
      <c r="F23" s="17">
        <v>16527</v>
      </c>
    </row>
    <row r="24" spans="5:6" x14ac:dyDescent="0.2">
      <c r="E24" s="16" t="s">
        <v>23</v>
      </c>
      <c r="F24" s="17">
        <f>SUM(F21:F23)</f>
        <v>303495.75</v>
      </c>
    </row>
    <row r="25" spans="5:6" x14ac:dyDescent="0.2">
      <c r="E25" s="16"/>
      <c r="F25" s="17"/>
    </row>
    <row r="26" spans="5:6" x14ac:dyDescent="0.2">
      <c r="E26" s="16" t="s">
        <v>24</v>
      </c>
      <c r="F26" s="17">
        <f>F24-F19</f>
        <v>41041.349999999977</v>
      </c>
    </row>
    <row r="27" spans="5:6" x14ac:dyDescent="0.2">
      <c r="E27" s="16"/>
      <c r="F27" s="17"/>
    </row>
    <row r="28" spans="5:6" x14ac:dyDescent="0.2">
      <c r="E28" s="16"/>
      <c r="F28" s="17"/>
    </row>
    <row r="29" spans="5:6" x14ac:dyDescent="0.2">
      <c r="E29" s="16"/>
      <c r="F29" s="17"/>
    </row>
    <row r="30" spans="5:6" x14ac:dyDescent="0.2">
      <c r="F30" s="17"/>
    </row>
    <row r="31" spans="5:6" x14ac:dyDescent="0.2">
      <c r="F31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</vt:lpstr>
      <vt:lpstr>Hoja1</vt:lpstr>
      <vt:lpstr>Hoja2</vt:lpstr>
      <vt:lpstr>REPORTE!Área_de_impresión</vt:lpstr>
      <vt:lpstr>REPORTE!Títulos_a_imprimir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breth adan velazquez moreno</dc:creator>
  <cp:lastModifiedBy>breth velazquez</cp:lastModifiedBy>
  <cp:lastPrinted>2026-02-23T18:10:54Z</cp:lastPrinted>
  <dcterms:created xsi:type="dcterms:W3CDTF">2002-11-14T19:09:05Z</dcterms:created>
  <dcterms:modified xsi:type="dcterms:W3CDTF">2026-07-15T18:38:29Z</dcterms:modified>
</cp:coreProperties>
</file>